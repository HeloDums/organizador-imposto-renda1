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Resumo" sheetId="2" state="visible" r:id="rId4"/>
    <sheet name="Dados Pessoais" sheetId="3" state="visible" r:id="rId5"/>
    <sheet name="Rendimentos" sheetId="4" state="visible" r:id="rId6"/>
    <sheet name="Despesas" sheetId="5" state="visible" r:id="rId7"/>
    <sheet name="Bens e Direitos" sheetId="6" state="visible" r:id="rId8"/>
    <sheet name="Dívidas" sheetId="7" state="visible" r:id="rId9"/>
    <sheet name="Checklist" sheetId="8" state="visible" r:id="rId10"/>
    <sheet name="List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<sst xmlns="http://schemas.openxmlformats.org/spreadsheetml/2006/main" count="233" uniqueCount="184">
  <si>
    <t xml:space="preserve">ORGANIZADOR DE IMPOSTO DE RENDA</t>
  </si>
  <si>
    <t xml:space="preserve">NAVEGAÇÃO</t>
  </si>
  <si>
    <t xml:space="preserve">Totais calculados automaticamente</t>
  </si>
  <si>
    <t xml:space="preserve">Cadastro do contribuinte</t>
  </si>
  <si>
    <t xml:space="preserve">Salários, aluguéis, isentos e retenções</t>
  </si>
  <si>
    <t xml:space="preserve">Saúde, educação, previdência</t>
  </si>
  <si>
    <t xml:space="preserve">Imóveis, veículos, contas, investimentos</t>
  </si>
  <si>
    <t xml:space="preserve">Financiamentos e empréstimos</t>
  </si>
  <si>
    <t xml:space="preserve">Acompanhe o que já foi reunido</t>
  </si>
  <si>
    <t xml:space="preserve">LINKS RÁPIDOS</t>
  </si>
  <si>
    <t xml:space="preserve">COMO USAR</t>
  </si>
  <si>
    <t xml:space="preserve">• Células amarelas com texto azul = você preenche.</t>
  </si>
  <si>
    <t xml:space="preserve">• Células cinza = fórmulas automáticas (não edite).</t>
  </si>
  <si>
    <t xml:space="preserve">• Linha 6 de cada aba é um EXEMPLO: substitua ou apague.</t>
  </si>
  <si>
    <t xml:space="preserve">• Menus suspensos e validações evitam erros de digitação.</t>
  </si>
  <si>
    <t xml:space="preserve">• Confira os parâmetros (limites) na aba Resumo antes de declarar.</t>
  </si>
  <si>
    <t xml:space="preserve">Ferramenta de organização pessoal — não substitui orientação contábil nem o programa oficial da Receita Federal.</t>
  </si>
  <si>
    <t xml:space="preserve">Resumo da declaração</t>
  </si>
  <si>
    <t xml:space="preserve">Tudo aqui é calculado automaticamente a partir das outras abas — não digite nada.</t>
  </si>
  <si>
    <t xml:space="preserve">Identificação</t>
  </si>
  <si>
    <t xml:space="preserve">Contribuinte</t>
  </si>
  <si>
    <t xml:space="preserve">Ano-calendário</t>
  </si>
  <si>
    <t xml:space="preserve">Nº de dependentes</t>
  </si>
  <si>
    <t xml:space="preserve">Parâmetros (confirme os valores oficiais do ano)</t>
  </si>
  <si>
    <t xml:space="preserve">Limite anual de dedução com educação (por pessoa)</t>
  </si>
  <si>
    <t xml:space="preserve">Valor de referência — confirme na Receita Federal</t>
  </si>
  <si>
    <t xml:space="preserve">Dedução anual por dependente</t>
  </si>
  <si>
    <t xml:space="preserve">Rendimentos</t>
  </si>
  <si>
    <t xml:space="preserve">Tributável (salário, aluguel, autônomo)</t>
  </si>
  <si>
    <t xml:space="preserve">Isento e não tributável</t>
  </si>
  <si>
    <t xml:space="preserve">Tributação exclusiva/definitiva</t>
  </si>
  <si>
    <t xml:space="preserve">Outros</t>
  </si>
  <si>
    <t xml:space="preserve">Total de rendimentos</t>
  </si>
  <si>
    <t xml:space="preserve">Imposto retido na fonte</t>
  </si>
  <si>
    <t xml:space="preserve">Despesas dedutíveis</t>
  </si>
  <si>
    <t xml:space="preserve">Saúde</t>
  </si>
  <si>
    <t xml:space="preserve">Educação</t>
  </si>
  <si>
    <t xml:space="preserve">Previdência (PGBL)</t>
  </si>
  <si>
    <t xml:space="preserve">Pensão alimentícia</t>
  </si>
  <si>
    <t xml:space="preserve">Doação</t>
  </si>
  <si>
    <t xml:space="preserve">Outras</t>
  </si>
  <si>
    <t xml:space="preserve">Total lançado</t>
  </si>
  <si>
    <t xml:space="preserve">Educação dedutível (aplicando o limite)</t>
  </si>
  <si>
    <t xml:space="preserve">Limite × (titular + dependentes)</t>
  </si>
  <si>
    <t xml:space="preserve">Despesas sem comprovante</t>
  </si>
  <si>
    <t xml:space="preserve">Regularize antes de declarar</t>
  </si>
  <si>
    <t xml:space="preserve">Patrimônio</t>
  </si>
  <si>
    <t xml:space="preserve">Bens e direitos — ano anterior</t>
  </si>
  <si>
    <t xml:space="preserve">Bens e direitos — ano-calendário</t>
  </si>
  <si>
    <t xml:space="preserve">Variação patrimonial dos bens</t>
  </si>
  <si>
    <t xml:space="preserve">Dívidas — ano-calendário</t>
  </si>
  <si>
    <t xml:space="preserve">Patrimônio líquido</t>
  </si>
  <si>
    <t xml:space="preserve">Documentos</t>
  </si>
  <si>
    <t xml:space="preserve">Checklist concluído</t>
  </si>
  <si>
    <t xml:space="preserve">Dados Pessoais</t>
  </si>
  <si>
    <t xml:space="preserve">Preencha as células amarelas (texto azul).</t>
  </si>
  <si>
    <t xml:space="preserve">Campo</t>
  </si>
  <si>
    <t xml:space="preserve">Informação</t>
  </si>
  <si>
    <t xml:space="preserve">Nome completo</t>
  </si>
  <si>
    <t xml:space="preserve">Maria da Silva (exemplo)</t>
  </si>
  <si>
    <t xml:space="preserve">CPF (somente números)</t>
  </si>
  <si>
    <t xml:space="preserve">12345678901</t>
  </si>
  <si>
    <t xml:space="preserve">Data de nascimento</t>
  </si>
  <si>
    <t xml:space="preserve">Ano-calendário (ano dos rendimentos)</t>
  </si>
  <si>
    <t xml:space="preserve">E-mail</t>
  </si>
  <si>
    <t xml:space="preserve">maria@email.com</t>
  </si>
  <si>
    <t xml:space="preserve">Telefone</t>
  </si>
  <si>
    <t xml:space="preserve">(41) 99999-9999</t>
  </si>
  <si>
    <t xml:space="preserve">Estado civil</t>
  </si>
  <si>
    <t xml:space="preserve">Solteiro(a)</t>
  </si>
  <si>
    <t xml:space="preserve">UF</t>
  </si>
  <si>
    <t xml:space="preserve">PR</t>
  </si>
  <si>
    <t xml:space="preserve">Banco p/ restituição (opcional)</t>
  </si>
  <si>
    <t xml:space="preserve">Banco / Agência / Conta</t>
  </si>
  <si>
    <t xml:space="preserve">Dependentes</t>
  </si>
  <si>
    <t xml:space="preserve">Nome</t>
  </si>
  <si>
    <t xml:space="preserve">Parentesco</t>
  </si>
  <si>
    <t xml:space="preserve">João da Silva (exemplo)</t>
  </si>
  <si>
    <t xml:space="preserve">98765432100</t>
  </si>
  <si>
    <t xml:space="preserve">Filho(a)</t>
  </si>
  <si>
    <t xml:space="preserve">Informe de rendimentos: um lançamento por linha. A linha 6 é um exemplo — substitua ou apague.</t>
  </si>
  <si>
    <t xml:space="preserve">Data</t>
  </si>
  <si>
    <t xml:space="preserve">Fonte pagadora</t>
  </si>
  <si>
    <t xml:space="preserve">CPF/CNPJ da fonte</t>
  </si>
  <si>
    <t xml:space="preserve">Tipo de rendimento</t>
  </si>
  <si>
    <t xml:space="preserve">Valor bruto (R$)</t>
  </si>
  <si>
    <t xml:space="preserve">IR retido na fonte (R$)</t>
  </si>
  <si>
    <t xml:space="preserve">Observação</t>
  </si>
  <si>
    <t xml:space="preserve">Empresa Exemplo Ltda</t>
  </si>
  <si>
    <t xml:space="preserve">12345678000199</t>
  </si>
  <si>
    <t xml:space="preserve">Exemplo</t>
  </si>
  <si>
    <t xml:space="preserve">Saúde, educação, previdência etc. A linha 6 é um exemplo — substitua ou apague.</t>
  </si>
  <si>
    <t xml:space="preserve">Categoria</t>
  </si>
  <si>
    <t xml:space="preserve">Beneficiário/Prestador</t>
  </si>
  <si>
    <t xml:space="preserve">CPF/CNPJ do prestador</t>
  </si>
  <si>
    <t xml:space="preserve">Valor (R$)</t>
  </si>
  <si>
    <t xml:space="preserve">Comprovante em mãos?</t>
  </si>
  <si>
    <t xml:space="preserve">Clínica Exemplo</t>
  </si>
  <si>
    <t xml:space="preserve">11222333000144</t>
  </si>
  <si>
    <t xml:space="preserve">Sim</t>
  </si>
  <si>
    <t xml:space="preserve">Bens e Direitos</t>
  </si>
  <si>
    <t xml:space="preserve">Valores em 31/12. A linha 6 é um exemplo — substitua ou apague.</t>
  </si>
  <si>
    <t xml:space="preserve">Grupo</t>
  </si>
  <si>
    <t xml:space="preserve">Descrição</t>
  </si>
  <si>
    <t xml:space="preserve">Data de aquisição</t>
  </si>
  <si>
    <t xml:space="preserve">Situação em 31/12 do ano anterior (R$)</t>
  </si>
  <si>
    <t xml:space="preserve">Situação em 31/12 do ano-calendário (R$)</t>
  </si>
  <si>
    <t xml:space="preserve">Variação (R$)</t>
  </si>
  <si>
    <t xml:space="preserve">Veículo</t>
  </si>
  <si>
    <t xml:space="preserve">Carro Exemplo 2020</t>
  </si>
  <si>
    <t xml:space="preserve">Dívidas e ônus</t>
  </si>
  <si>
    <t xml:space="preserve">Financiamentos, empréstimos etc. A linha 6 é um exemplo — substitua ou apague.</t>
  </si>
  <si>
    <t xml:space="preserve">Credor</t>
  </si>
  <si>
    <t xml:space="preserve">CPF/CNPJ do credor</t>
  </si>
  <si>
    <t xml:space="preserve">Saldo em 31/12 do ano anterior (R$)</t>
  </si>
  <si>
    <t xml:space="preserve">Saldo em 31/12 do ano-calendário (R$)</t>
  </si>
  <si>
    <t xml:space="preserve">Banco Exemplo S.A.</t>
  </si>
  <si>
    <t xml:space="preserve">00111222000133</t>
  </si>
  <si>
    <t xml:space="preserve">Financiamento do carro</t>
  </si>
  <si>
    <t xml:space="preserve">Checklist de documentos</t>
  </si>
  <si>
    <t xml:space="preserve">Atualize o status conforme for reunindo cada documento.</t>
  </si>
  <si>
    <t xml:space="preserve">Documento</t>
  </si>
  <si>
    <t xml:space="preserve">Status</t>
  </si>
  <si>
    <t xml:space="preserve">Informe de rendimentos (empregador/fontes pagadoras)</t>
  </si>
  <si>
    <t xml:space="preserve">Pendente</t>
  </si>
  <si>
    <t xml:space="preserve">Informes de rendimentos de bancos e corretoras</t>
  </si>
  <si>
    <t xml:space="preserve">Informe do plano de saúde</t>
  </si>
  <si>
    <t xml:space="preserve">Recibos e notas de despesas médicas</t>
  </si>
  <si>
    <t xml:space="preserve">Comprovantes de despesas com educação</t>
  </si>
  <si>
    <t xml:space="preserve">Documentos de imóveis (escritura, IPTU, financiamento)</t>
  </si>
  <si>
    <t xml:space="preserve">Documentos de veículos (CRLV, financiamento)</t>
  </si>
  <si>
    <t xml:space="preserve">Extratos de investimentos e criptoativos</t>
  </si>
  <si>
    <t xml:space="preserve">Dados e CPF dos dependentes</t>
  </si>
  <si>
    <t xml:space="preserve">Comprovante de pensão alimentícia / previdência privada</t>
  </si>
  <si>
    <t xml:space="preserve">Recibo da declaração do ano anterior</t>
  </si>
  <si>
    <t xml:space="preserve">Dados bancários para restituição</t>
  </si>
  <si>
    <t xml:space="preserve">Progresso</t>
  </si>
  <si>
    <t xml:space="preserve">Listas de apoio</t>
  </si>
  <si>
    <t xml:space="preserve">Alimentam os menus suspensos. Edite com cuidado.</t>
  </si>
  <si>
    <t xml:space="preserve">Categoria de despesa</t>
  </si>
  <si>
    <t xml:space="preserve">Grupo de bem</t>
  </si>
  <si>
    <t xml:space="preserve">Sim/Não</t>
  </si>
  <si>
    <t xml:space="preserve">Imóvel</t>
  </si>
  <si>
    <t xml:space="preserve">AC</t>
  </si>
  <si>
    <t xml:space="preserve">Não</t>
  </si>
  <si>
    <t xml:space="preserve">AL</t>
  </si>
  <si>
    <t xml:space="preserve">Casado(a)</t>
  </si>
  <si>
    <t xml:space="preserve">Cônjuge/Companheiro(a)</t>
  </si>
  <si>
    <t xml:space="preserve">Em andamento</t>
  </si>
  <si>
    <t xml:space="preserve">Conta bancária</t>
  </si>
  <si>
    <t xml:space="preserve">AP</t>
  </si>
  <si>
    <t xml:space="preserve">União estável</t>
  </si>
  <si>
    <t xml:space="preserve">Pai/Mãe</t>
  </si>
  <si>
    <t xml:space="preserve">Entregue</t>
  </si>
  <si>
    <t xml:space="preserve">Aplicação financeira</t>
  </si>
  <si>
    <t xml:space="preserve">AM</t>
  </si>
  <si>
    <t xml:space="preserve">Divorciado(a)</t>
  </si>
  <si>
    <t xml:space="preserve">Outro</t>
  </si>
  <si>
    <t xml:space="preserve">Participação societária</t>
  </si>
  <si>
    <t xml:space="preserve">BA</t>
  </si>
  <si>
    <t xml:space="preserve">Viúvo(a)</t>
  </si>
  <si>
    <t xml:space="preserve">Criptoativos</t>
  </si>
  <si>
    <t xml:space="preserve">CE</t>
  </si>
  <si>
    <t xml:space="preserve">Outros bens</t>
  </si>
  <si>
    <t xml:space="preserve">DF</t>
  </si>
  <si>
    <t xml:space="preserve">ES</t>
  </si>
  <si>
    <t xml:space="preserve">GO</t>
  </si>
  <si>
    <t xml:space="preserve">MA</t>
  </si>
  <si>
    <t xml:space="preserve">MT</t>
  </si>
  <si>
    <t xml:space="preserve">MS</t>
  </si>
  <si>
    <t xml:space="preserve">MG</t>
  </si>
  <si>
    <t xml:space="preserve">PA</t>
  </si>
  <si>
    <t xml:space="preserve">PB</t>
  </si>
  <si>
    <t xml:space="preserve">PE</t>
  </si>
  <si>
    <t xml:space="preserve">PI</t>
  </si>
  <si>
    <t xml:space="preserve">RJ</t>
  </si>
  <si>
    <t xml:space="preserve">RN</t>
  </si>
  <si>
    <t xml:space="preserve">RS</t>
  </si>
  <si>
    <t xml:space="preserve">RO</t>
  </si>
  <si>
    <t xml:space="preserve">RR</t>
  </si>
  <si>
    <t xml:space="preserve">SC</t>
  </si>
  <si>
    <t xml:space="preserve">SP</t>
  </si>
  <si>
    <t xml:space="preserve">SE</t>
  </si>
  <si>
    <t xml:space="preserve">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</si>
</sst>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&quot;R$ &quot;#,##0.00;[RED]&quot;-R$ &quot;#,##0.00;\-"/>
    <numFmt numFmtId="167" formatCode="0%"/>
    <numFmt numFmtId="168" formatCode="@"/>
    <numFmt numFmtId="169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u val="single"/>
      <sz val="12"/>
      <color rgb="FF0563C1"/>
      <name val="Arial"/>
      <family val="0"/>
      <charset val="1"/>
    </font>
    <font>
      <sz val="10"/>
      <color rgb="FF59595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2E75B6"/>
        <bgColor rgb="FF0563C1"/>
      </patternFill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22"/>
  </cols>
  <sheetData>
    <row r="2" customFormat="false" ht="15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1"/>
      <c r="C3" s="1"/>
      <c r="D3" s="1"/>
      <c r="E3" s="1"/>
    </row>
    <row r="4" customFormat="false" ht="15" hidden="false" customHeight="false" outlineLevel="0" collapsed="false">
      <c r="B4" s="2" t="str">
        <f aca="false">"Contribuinte: "&amp;'Dados Pessoais'!B6&amp;"  |  Ano-calendário: "&amp;'Dados Pessoais'!B9</f>
        <v>Contribuinte: Maria da Silva (exemplo)  |  Ano-calendário: 2026</v>
      </c>
      <c r="C4" s="2"/>
      <c r="D4" s="2"/>
      <c r="E4" s="2"/>
    </row>
    <row r="6" customFormat="false" ht="15" hidden="false" customHeight="false" outlineLevel="0" collapsed="false">
      <c r="B6" s="3" t="s">
        <v>1</v>
      </c>
    </row>
    <row r="7" customFormat="false" ht="24" hidden="false" customHeight="true" outlineLevel="0" collapsed="false">
      <c r="B7" s="4" t="str">
        <f aca="false">HYPERLINK("#'Resumo'!A1","📊  Resumo da declaração")</f>
        <v>📊  Resumo da declaração</v>
      </c>
      <c r="C7" s="5" t="s">
        <v>2</v>
      </c>
      <c r="D7" s="5"/>
      <c r="E7" s="5"/>
    </row>
    <row r="8" customFormat="false" ht="24" hidden="false" customHeight="true" outlineLevel="0" collapsed="false">
      <c r="B8" s="4" t="str">
        <f aca="false">HYPERLINK("#'Dados Pessoais'!A1","👤  Dados pessoais e dependentes")</f>
        <v>👤  Dados pessoais e dependentes</v>
      </c>
      <c r="C8" s="5" t="s">
        <v>3</v>
      </c>
      <c r="D8" s="5"/>
      <c r="E8" s="5"/>
    </row>
    <row r="9" customFormat="false" ht="24" hidden="false" customHeight="true" outlineLevel="0" collapsed="false">
      <c r="B9" s="4" t="str">
        <f aca="false">HYPERLINK("#'Rendimentos'!A1","💰  Rendimentos")</f>
        <v>💰  Rendimentos</v>
      </c>
      <c r="C9" s="5" t="s">
        <v>4</v>
      </c>
      <c r="D9" s="5"/>
      <c r="E9" s="5"/>
    </row>
    <row r="10" customFormat="false" ht="24" hidden="false" customHeight="true" outlineLevel="0" collapsed="false">
      <c r="B10" s="4" t="str">
        <f aca="false">HYPERLINK("#'Despesas'!A1","🧾  Despesas dedutíveis")</f>
        <v>🧾  Despesas dedutíveis</v>
      </c>
      <c r="C10" s="5" t="s">
        <v>5</v>
      </c>
      <c r="D10" s="5"/>
      <c r="E10" s="5"/>
    </row>
    <row r="11" customFormat="false" ht="24" hidden="false" customHeight="true" outlineLevel="0" collapsed="false">
      <c r="B11" s="4" t="str">
        <f aca="false">HYPERLINK("#'Bens e Direitos'!A1","🏠  Bens e direitos")</f>
        <v>🏠  Bens e direitos</v>
      </c>
      <c r="C11" s="5" t="s">
        <v>6</v>
      </c>
      <c r="D11" s="5"/>
      <c r="E11" s="5"/>
    </row>
    <row r="12" customFormat="false" ht="24" hidden="false" customHeight="true" outlineLevel="0" collapsed="false">
      <c r="B12" s="4" t="str">
        <f aca="false">HYPERLINK("#'Dívidas'!A1","💳  Dívidas e ônus")</f>
        <v>💳  Dívidas e ônus</v>
      </c>
      <c r="C12" s="5" t="s">
        <v>7</v>
      </c>
      <c r="D12" s="5"/>
      <c r="E12" s="5"/>
    </row>
    <row r="13" customFormat="false" ht="24" hidden="false" customHeight="true" outlineLevel="0" collapsed="false">
      <c r="B13" s="4" t="str">
        <f aca="false">HYPERLINK("#'Checklist'!A1","✅  Checklist de documentos")</f>
        <v>✅  Checklist de documentos</v>
      </c>
      <c r="C13" s="5" t="s">
        <v>8</v>
      </c>
      <c r="D13" s="5"/>
      <c r="E13" s="5"/>
    </row>
    <row r="15" customFormat="false" ht="15" hidden="false" customHeight="false" outlineLevel="0" collapsed="false">
      <c r="B15" s="3" t="s">
        <v>9</v>
      </c>
    </row>
    <row r="16" customFormat="false" ht="19.5" hidden="false" customHeight="true" outlineLevel="0" collapsed="false">
      <c r="B16" s="6" t="str">
        <f aca="false">HYPERLINK("https://www.gov.br/receitafederal/pt-br/assuntos/meu-imposto-de-renda","🌐  Receita Federal (IRPF)")</f>
        <v>🌐  Receita Federal (IRPF)</v>
      </c>
    </row>
    <row r="17" customFormat="false" ht="19.5" hidden="false" customHeight="true" outlineLevel="0" collapsed="false">
      <c r="B17" s="6" t="str">
        <f aca="false">HYPERLINK("https://cav.receita.fazenda.gov.br/","🔐  Portal e-CAC")</f>
        <v>🔐  Portal e-CAC</v>
      </c>
    </row>
    <row r="18" customFormat="false" ht="19.5" hidden="false" customHeight="true" outlineLevel="0" collapsed="false">
      <c r="B18" s="6" t="str">
        <f aca="false">HYPERLINK("https://www.gov.br/","🏛  Portal gov.br")</f>
        <v>🏛  Portal gov.br</v>
      </c>
    </row>
    <row r="20" customFormat="false" ht="15" hidden="false" customHeight="false" outlineLevel="0" collapsed="false">
      <c r="B20" s="3" t="s">
        <v>10</v>
      </c>
    </row>
    <row r="21" customFormat="false" ht="15" hidden="false" customHeight="false" outlineLevel="0" collapsed="false">
      <c r="B21" s="7" t="s">
        <v>11</v>
      </c>
      <c r="C21" s="7"/>
      <c r="D21" s="7"/>
      <c r="E21" s="7"/>
    </row>
    <row r="22" customFormat="false" ht="15" hidden="false" customHeight="false" outlineLevel="0" collapsed="false">
      <c r="B22" s="7" t="s">
        <v>12</v>
      </c>
      <c r="C22" s="7"/>
      <c r="D22" s="7"/>
      <c r="E22" s="7"/>
    </row>
    <row r="23" customFormat="false" ht="15" hidden="false" customHeight="false" outlineLevel="0" collapsed="false">
      <c r="B23" s="7" t="s">
        <v>13</v>
      </c>
      <c r="C23" s="7"/>
      <c r="D23" s="7"/>
      <c r="E23" s="7"/>
    </row>
    <row r="24" customFormat="false" ht="15" hidden="false" customHeight="false" outlineLevel="0" collapsed="false">
      <c r="B24" s="7" t="s">
        <v>14</v>
      </c>
      <c r="C24" s="7"/>
      <c r="D24" s="7"/>
      <c r="E24" s="7"/>
    </row>
    <row r="25" customFormat="false" ht="15" hidden="false" customHeight="false" outlineLevel="0" collapsed="false">
      <c r="B25" s="7" t="s">
        <v>15</v>
      </c>
      <c r="C25" s="7"/>
      <c r="D25" s="7"/>
      <c r="E25" s="7"/>
    </row>
    <row r="27" customFormat="false" ht="15" hidden="false" customHeight="false" outlineLevel="0" collapsed="false">
      <c r="B27" s="8" t="s">
        <v>16</v>
      </c>
      <c r="C27" s="8"/>
      <c r="D27" s="8"/>
      <c r="E27" s="8"/>
    </row>
  </sheetData>
  <mergeCells count="15">
    <mergeCell ref="B2:E3"/>
    <mergeCell ref="B4:E4"/>
    <mergeCell ref="C7:E7"/>
    <mergeCell ref="C8:E8"/>
    <mergeCell ref="C9:E9"/>
    <mergeCell ref="C10:E10"/>
    <mergeCell ref="C11:E11"/>
    <mergeCell ref="C12:E12"/>
    <mergeCell ref="C13:E13"/>
    <mergeCell ref="B21:E21"/>
    <mergeCell ref="B22:E22"/>
    <mergeCell ref="B23:E23"/>
    <mergeCell ref="B24:E24"/>
    <mergeCell ref="B25:E25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4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17</v>
      </c>
    </row>
    <row r="3" customFormat="false" ht="15" hidden="false" customHeight="false" outlineLevel="0" collapsed="false">
      <c r="A3" s="11" t="s">
        <v>18</v>
      </c>
    </row>
    <row r="5" customFormat="false" ht="15" hidden="false" customHeight="false" outlineLevel="0" collapsed="false">
      <c r="A5" s="12" t="s">
        <v>19</v>
      </c>
      <c r="B5" s="13"/>
      <c r="C5" s="13"/>
    </row>
    <row r="6" customFormat="false" ht="15" hidden="false" customHeight="false" outlineLevel="0" collapsed="false">
      <c r="A6" s="14" t="s">
        <v>20</v>
      </c>
      <c r="B6" s="15" t="str">
        <f aca="false">'Dados Pessoais'!B6</f>
        <v>Maria da Silva (exemplo)</v>
      </c>
    </row>
    <row r="7" customFormat="false" ht="15" hidden="false" customHeight="false" outlineLevel="0" collapsed="false">
      <c r="A7" s="14" t="s">
        <v>21</v>
      </c>
      <c r="B7" s="16" t="n">
        <f aca="false">'Dados Pessoais'!B9</f>
        <v>2026</v>
      </c>
    </row>
    <row r="8" customFormat="false" ht="15" hidden="false" customHeight="false" outlineLevel="0" collapsed="false">
      <c r="A8" s="14" t="s">
        <v>22</v>
      </c>
      <c r="B8" s="16" t="n">
        <f aca="false">'Dados Pessoais'!B30</f>
        <v>1</v>
      </c>
    </row>
    <row r="10" customFormat="false" ht="15" hidden="false" customHeight="false" outlineLevel="0" collapsed="false">
      <c r="A10" s="12" t="s">
        <v>23</v>
      </c>
      <c r="B10" s="13"/>
      <c r="C10" s="13"/>
    </row>
    <row r="11" customFormat="false" ht="15" hidden="false" customHeight="false" outlineLevel="0" collapsed="false">
      <c r="A11" s="14" t="s">
        <v>24</v>
      </c>
      <c r="B11" s="17" t="n">
        <v>3561.5</v>
      </c>
      <c r="C11" s="18" t="s">
        <v>25</v>
      </c>
    </row>
    <row r="12" customFormat="false" ht="15" hidden="false" customHeight="false" outlineLevel="0" collapsed="false">
      <c r="A12" s="14" t="s">
        <v>26</v>
      </c>
      <c r="B12" s="17" t="n">
        <v>2275.08</v>
      </c>
      <c r="C12" s="18" t="s">
        <v>25</v>
      </c>
    </row>
    <row r="14" customFormat="false" ht="15" hidden="false" customHeight="false" outlineLevel="0" collapsed="false">
      <c r="A14" s="12" t="s">
        <v>27</v>
      </c>
      <c r="B14" s="13"/>
      <c r="C14" s="13"/>
    </row>
    <row r="15" customFormat="false" ht="15" hidden="false" customHeight="false" outlineLevel="0" collapsed="false">
      <c r="A15" s="14" t="s">
        <v>28</v>
      </c>
      <c r="B15" s="19" t="n">
        <f aca="false">SUMIF(Rendimentos!$D$6:$D$205,"Tributável (salário, aluguel, autônomo)",Rendimentos!$E$6:$E$205)</f>
        <v>4500</v>
      </c>
    </row>
    <row r="16" customFormat="false" ht="15" hidden="false" customHeight="false" outlineLevel="0" collapsed="false">
      <c r="A16" s="14" t="s">
        <v>29</v>
      </c>
      <c r="B16" s="19" t="n">
        <f aca="false">SUMIF(Rendimentos!$D$6:$D$205,"Isento e não tributável",Rendimentos!$E$6:$E$205)</f>
        <v>0</v>
      </c>
    </row>
    <row r="17" customFormat="false" ht="15" hidden="false" customHeight="false" outlineLevel="0" collapsed="false">
      <c r="A17" s="14" t="s">
        <v>30</v>
      </c>
      <c r="B17" s="19" t="n">
        <f aca="false">SUMIF(Rendimentos!$D$6:$D$205,"Tributação exclusiva/definitiva",Rendimentos!$E$6:$E$205)</f>
        <v>0</v>
      </c>
    </row>
    <row r="18" customFormat="false" ht="15" hidden="false" customHeight="false" outlineLevel="0" collapsed="false">
      <c r="A18" s="14" t="s">
        <v>31</v>
      </c>
      <c r="B18" s="19" t="n">
        <f aca="false">SUMIF(Rendimentos!$D$6:$D$205,"Outros",Rendimentos!$E$6:$E$205)</f>
        <v>0</v>
      </c>
    </row>
    <row r="19" customFormat="false" ht="15" hidden="false" customHeight="false" outlineLevel="0" collapsed="false">
      <c r="A19" s="20" t="s">
        <v>32</v>
      </c>
      <c r="B19" s="21" t="n">
        <f aca="false">SUM(B15:B18)</f>
        <v>4500</v>
      </c>
    </row>
    <row r="20" customFormat="false" ht="15" hidden="false" customHeight="false" outlineLevel="0" collapsed="false">
      <c r="A20" s="20" t="s">
        <v>33</v>
      </c>
      <c r="B20" s="21" t="n">
        <f aca="false">SUM(Rendimentos!F6:F205)</f>
        <v>320.5</v>
      </c>
    </row>
    <row r="22" customFormat="false" ht="15" hidden="false" customHeight="false" outlineLevel="0" collapsed="false">
      <c r="A22" s="12" t="s">
        <v>34</v>
      </c>
      <c r="B22" s="13"/>
      <c r="C22" s="13"/>
    </row>
    <row r="23" customFormat="false" ht="15" hidden="false" customHeight="false" outlineLevel="0" collapsed="false">
      <c r="A23" s="14" t="s">
        <v>35</v>
      </c>
      <c r="B23" s="19" t="n">
        <f aca="false">SUMIF(Despesas!$B$6:$B$205,"Saúde",Despesas!$E$6:$E$205)</f>
        <v>350</v>
      </c>
    </row>
    <row r="24" customFormat="false" ht="15" hidden="false" customHeight="false" outlineLevel="0" collapsed="false">
      <c r="A24" s="14" t="s">
        <v>36</v>
      </c>
      <c r="B24" s="19" t="n">
        <f aca="false">SUMIF(Despesas!$B$6:$B$205,"Educação",Despesas!$E$6:$E$205)</f>
        <v>0</v>
      </c>
    </row>
    <row r="25" customFormat="false" ht="15" hidden="false" customHeight="false" outlineLevel="0" collapsed="false">
      <c r="A25" s="14" t="s">
        <v>37</v>
      </c>
      <c r="B25" s="19" t="n">
        <f aca="false">SUMIF(Despesas!$B$6:$B$205,"Previdência (PGBL)",Despesas!$E$6:$E$205)</f>
        <v>0</v>
      </c>
    </row>
    <row r="26" customFormat="false" ht="15" hidden="false" customHeight="false" outlineLevel="0" collapsed="false">
      <c r="A26" s="14" t="s">
        <v>38</v>
      </c>
      <c r="B26" s="19" t="n">
        <f aca="false">SUMIF(Despesas!$B$6:$B$205,"Pensão alimentícia",Despesas!$E$6:$E$205)</f>
        <v>0</v>
      </c>
    </row>
    <row r="27" customFormat="false" ht="15" hidden="false" customHeight="false" outlineLevel="0" collapsed="false">
      <c r="A27" s="14" t="s">
        <v>39</v>
      </c>
      <c r="B27" s="19" t="n">
        <f aca="false">SUMIF(Despesas!$B$6:$B$205,"Doação",Despesas!$E$6:$E$205)</f>
        <v>0</v>
      </c>
    </row>
    <row r="28" customFormat="false" ht="15" hidden="false" customHeight="false" outlineLevel="0" collapsed="false">
      <c r="A28" s="14" t="s">
        <v>40</v>
      </c>
      <c r="B28" s="19" t="n">
        <f aca="false">SUMIF(Despesas!$B$6:$B$205,"Outras",Despesas!$E$6:$E$205)</f>
        <v>0</v>
      </c>
    </row>
    <row r="29" customFormat="false" ht="15" hidden="false" customHeight="false" outlineLevel="0" collapsed="false">
      <c r="A29" s="20" t="s">
        <v>41</v>
      </c>
      <c r="B29" s="21" t="n">
        <f aca="false">SUM(B23:B28)</f>
        <v>350</v>
      </c>
    </row>
    <row r="30" customFormat="false" ht="15" hidden="false" customHeight="false" outlineLevel="0" collapsed="false">
      <c r="A30" s="14" t="s">
        <v>42</v>
      </c>
      <c r="B30" s="19" t="n">
        <f aca="false">MIN(B24,B11*(1+B8))</f>
        <v>0</v>
      </c>
      <c r="C30" s="18" t="s">
        <v>43</v>
      </c>
    </row>
    <row r="31" customFormat="false" ht="15" hidden="false" customHeight="false" outlineLevel="0" collapsed="false">
      <c r="A31" s="14" t="s">
        <v>44</v>
      </c>
      <c r="B31" s="16" t="n">
        <f aca="false">COUNTIF(Despesas!F6:F205,"Não")</f>
        <v>0</v>
      </c>
      <c r="C31" s="18" t="s">
        <v>45</v>
      </c>
    </row>
    <row r="33" customFormat="false" ht="15" hidden="false" customHeight="false" outlineLevel="0" collapsed="false">
      <c r="A33" s="12" t="s">
        <v>46</v>
      </c>
      <c r="B33" s="13"/>
      <c r="C33" s="13"/>
    </row>
    <row r="34" customFormat="false" ht="15" hidden="false" customHeight="false" outlineLevel="0" collapsed="false">
      <c r="A34" s="14" t="s">
        <v>47</v>
      </c>
      <c r="B34" s="19" t="n">
        <f aca="false">SUM('Bens e Direitos'!D6:D205)</f>
        <v>45000</v>
      </c>
    </row>
    <row r="35" customFormat="false" ht="15" hidden="false" customHeight="false" outlineLevel="0" collapsed="false">
      <c r="A35" s="14" t="s">
        <v>48</v>
      </c>
      <c r="B35" s="19" t="n">
        <f aca="false">SUM('Bens e Direitos'!E6:E205)</f>
        <v>42000</v>
      </c>
    </row>
    <row r="36" customFormat="false" ht="15" hidden="false" customHeight="false" outlineLevel="0" collapsed="false">
      <c r="A36" s="20" t="s">
        <v>49</v>
      </c>
      <c r="B36" s="21" t="n">
        <f aca="false">B35-B34</f>
        <v>-3000</v>
      </c>
    </row>
    <row r="37" customFormat="false" ht="15" hidden="false" customHeight="false" outlineLevel="0" collapsed="false">
      <c r="A37" s="14" t="s">
        <v>50</v>
      </c>
      <c r="B37" s="19" t="n">
        <f aca="false">SUM(Dívidas!E6:E205)</f>
        <v>15000</v>
      </c>
    </row>
    <row r="38" customFormat="false" ht="15" hidden="false" customHeight="false" outlineLevel="0" collapsed="false">
      <c r="A38" s="20" t="s">
        <v>51</v>
      </c>
      <c r="B38" s="21" t="n">
        <f aca="false">B35-B37</f>
        <v>27000</v>
      </c>
    </row>
    <row r="40" customFormat="false" ht="15" hidden="false" customHeight="false" outlineLevel="0" collapsed="false">
      <c r="A40" s="12" t="s">
        <v>52</v>
      </c>
      <c r="B40" s="13"/>
      <c r="C40" s="13"/>
    </row>
    <row r="41" customFormat="false" ht="15" hidden="false" customHeight="false" outlineLevel="0" collapsed="false">
      <c r="A41" s="20" t="s">
        <v>53</v>
      </c>
      <c r="B41" s="22" t="n">
        <f aca="false">Checklist!B19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54</v>
      </c>
    </row>
    <row r="3" customFormat="false" ht="15" hidden="false" customHeight="false" outlineLevel="0" collapsed="false">
      <c r="A3" s="11" t="s">
        <v>55</v>
      </c>
    </row>
    <row r="5" customFormat="false" ht="30" hidden="false" customHeight="true" outlineLevel="0" collapsed="false">
      <c r="A5" s="23" t="s">
        <v>56</v>
      </c>
      <c r="B5" s="23" t="s">
        <v>57</v>
      </c>
    </row>
    <row r="6" customFormat="false" ht="15" hidden="false" customHeight="false" outlineLevel="0" collapsed="false">
      <c r="A6" s="20" t="s">
        <v>58</v>
      </c>
      <c r="B6" s="24" t="s">
        <v>59</v>
      </c>
    </row>
    <row r="7" customFormat="false" ht="15" hidden="false" customHeight="false" outlineLevel="0" collapsed="false">
      <c r="A7" s="20" t="s">
        <v>60</v>
      </c>
      <c r="B7" s="25" t="s">
        <v>61</v>
      </c>
    </row>
    <row r="8" customFormat="false" ht="15" hidden="false" customHeight="false" outlineLevel="0" collapsed="false">
      <c r="A8" s="20" t="s">
        <v>62</v>
      </c>
      <c r="B8" s="26" t="n">
        <v>33013</v>
      </c>
    </row>
    <row r="9" customFormat="false" ht="15" hidden="false" customHeight="false" outlineLevel="0" collapsed="false">
      <c r="A9" s="20" t="s">
        <v>63</v>
      </c>
      <c r="B9" s="27" t="n">
        <v>2026</v>
      </c>
    </row>
    <row r="10" customFormat="false" ht="15" hidden="false" customHeight="false" outlineLevel="0" collapsed="false">
      <c r="A10" s="20" t="s">
        <v>64</v>
      </c>
      <c r="B10" s="24" t="s">
        <v>65</v>
      </c>
    </row>
    <row r="11" customFormat="false" ht="15" hidden="false" customHeight="false" outlineLevel="0" collapsed="false">
      <c r="A11" s="20" t="s">
        <v>66</v>
      </c>
      <c r="B11" s="24" t="s">
        <v>67</v>
      </c>
    </row>
    <row r="12" customFormat="false" ht="15" hidden="false" customHeight="false" outlineLevel="0" collapsed="false">
      <c r="A12" s="20" t="s">
        <v>68</v>
      </c>
      <c r="B12" s="24" t="s">
        <v>69</v>
      </c>
    </row>
    <row r="13" customFormat="false" ht="15" hidden="false" customHeight="false" outlineLevel="0" collapsed="false">
      <c r="A13" s="20" t="s">
        <v>70</v>
      </c>
      <c r="B13" s="24" t="s">
        <v>71</v>
      </c>
    </row>
    <row r="14" customFormat="false" ht="15" hidden="false" customHeight="false" outlineLevel="0" collapsed="false">
      <c r="A14" s="20" t="s">
        <v>72</v>
      </c>
      <c r="B14" s="24" t="s">
        <v>73</v>
      </c>
    </row>
    <row r="17" customFormat="false" ht="15" hidden="false" customHeight="false" outlineLevel="0" collapsed="false">
      <c r="A17" s="3" t="s">
        <v>74</v>
      </c>
    </row>
    <row r="18" customFormat="false" ht="30" hidden="false" customHeight="true" outlineLevel="0" collapsed="false">
      <c r="A18" s="23" t="s">
        <v>75</v>
      </c>
      <c r="B18" s="23" t="s">
        <v>60</v>
      </c>
      <c r="C18" s="23" t="s">
        <v>76</v>
      </c>
      <c r="D18" s="23" t="s">
        <v>62</v>
      </c>
    </row>
    <row r="19" customFormat="false" ht="15" hidden="false" customHeight="false" outlineLevel="0" collapsed="false">
      <c r="A19" s="24" t="s">
        <v>77</v>
      </c>
      <c r="B19" s="25" t="s">
        <v>78</v>
      </c>
      <c r="C19" s="24" t="s">
        <v>79</v>
      </c>
      <c r="D19" s="26" t="n">
        <v>42073</v>
      </c>
    </row>
    <row r="20" customFormat="false" ht="15" hidden="false" customHeight="false" outlineLevel="0" collapsed="false">
      <c r="A20" s="24"/>
      <c r="B20" s="25"/>
      <c r="C20" s="24"/>
      <c r="D20" s="26"/>
    </row>
    <row r="21" customFormat="false" ht="15" hidden="false" customHeight="false" outlineLevel="0" collapsed="false">
      <c r="A21" s="24"/>
      <c r="B21" s="25"/>
      <c r="C21" s="24"/>
      <c r="D21" s="26"/>
    </row>
    <row r="22" customFormat="false" ht="15" hidden="false" customHeight="false" outlineLevel="0" collapsed="false">
      <c r="A22" s="24"/>
      <c r="B22" s="25"/>
      <c r="C22" s="24"/>
      <c r="D22" s="26"/>
    </row>
    <row r="23" customFormat="false" ht="15" hidden="false" customHeight="false" outlineLevel="0" collapsed="false">
      <c r="A23" s="24"/>
      <c r="B23" s="25"/>
      <c r="C23" s="24"/>
      <c r="D23" s="26"/>
    </row>
    <row r="24" customFormat="false" ht="15" hidden="false" customHeight="false" outlineLevel="0" collapsed="false">
      <c r="A24" s="24"/>
      <c r="B24" s="25"/>
      <c r="C24" s="24"/>
      <c r="D24" s="26"/>
    </row>
    <row r="25" customFormat="false" ht="15" hidden="false" customHeight="false" outlineLevel="0" collapsed="false">
      <c r="A25" s="24"/>
      <c r="B25" s="25"/>
      <c r="C25" s="24"/>
      <c r="D25" s="26"/>
    </row>
    <row r="26" customFormat="false" ht="15" hidden="false" customHeight="false" outlineLevel="0" collapsed="false">
      <c r="A26" s="24"/>
      <c r="B26" s="25"/>
      <c r="C26" s="24"/>
      <c r="D26" s="26"/>
    </row>
    <row r="27" customFormat="false" ht="15" hidden="false" customHeight="false" outlineLevel="0" collapsed="false">
      <c r="A27" s="24"/>
      <c r="B27" s="25"/>
      <c r="C27" s="24"/>
      <c r="D27" s="26"/>
    </row>
    <row r="28" customFormat="false" ht="15" hidden="false" customHeight="false" outlineLevel="0" collapsed="false">
      <c r="A28" s="24"/>
      <c r="B28" s="25"/>
      <c r="C28" s="24"/>
      <c r="D28" s="26"/>
    </row>
    <row r="30" customFormat="false" ht="15" hidden="false" customHeight="false" outlineLevel="0" collapsed="false">
      <c r="A30" s="28" t="s">
        <v>22</v>
      </c>
      <c r="B30" s="29" t="n">
        <f aca="false">COUNTA(A19:A28)</f>
        <v>1</v>
      </c>
    </row>
  </sheetData>
  <dataValidations count="9">
    <dataValidation allowBlank="true" error="Digite só números: CPF (11 dígitos) ou CNPJ (14 dígitos)." errorStyle="stop" errorTitle="CPF/CNPJ" operator="between" prompt="Somente números (11 ou 14 dígitos)." promptTitle="CPF/CNPJ" showDropDown="false" showErrorMessage="true" showInputMessage="true" sqref="B7" type="custom">
      <formula1>OR(LEN(B7)=11,LEN(B7)=14)</formula1>
      <formula2>0</formula2>
    </dataValidation>
    <dataValidation allowBlank="true" error="Informe uma data válida (dd/mm/aaaa)." errorStyle="stop" errorTitle="Data inválida" operator="between" showDropDown="false" showErrorMessage="true" showInputMessage="false" sqref="B8" type="date">
      <formula1>DATE(1990,1,1)</formula1>
      <formula2>DATE(2100,12,31)</formula2>
    </dataValidation>
    <dataValidation allowBlank="true" error="Escolha uma opção da lista." errorStyle="stop" errorTitle="Valor inválido" operator="between" prompt="Escolha o estado civil." promptTitle="Dica" showDropDown="false" showErrorMessage="true" showInputMessage="true" sqref="B12" type="list">
      <formula1>Listas!$F$6:$F$10</formula1>
      <formula2>0</formula2>
    </dataValidation>
    <dataValidation allowBlank="true" error="Escolha uma opção da lista." errorStyle="stop" errorTitle="Valor inválido" operator="between" prompt="Escolha a UF." promptTitle="Dica" showDropDown="false" showErrorMessage="true" showInputMessage="true" sqref="B13" type="list">
      <formula1>Listas!$E$6:$E$32</formula1>
      <formula2>0</formula2>
    </dataValidation>
    <dataValidation allowBlank="false" error="Informe um ano com 4 dígitos." errorStyle="stop" errorTitle="Ano inválido" operator="between" showDropDown="false" showErrorMessage="true" showInputMessage="false" sqref="B9" type="whole">
      <formula1>2000</formula1>
      <formula2>2100</formula2>
    </dataValidation>
    <dataValidation allowBlank="true" error="Digite um e-mail válido (com @)." errorStyle="stop" errorTitle="E-mail" operator="between" showDropDown="false" showErrorMessage="true" showInputMessage="false" sqref="B10" type="custom">
      <formula1>ISNUMBER(FIND("@",B10))</formula1>
      <formula2>0</formula2>
    </dataValidation>
    <dataValidation allowBlank="true" error="Digite só números: CPF (11 dígitos) ou CNPJ (14 dígitos)." errorStyle="stop" errorTitle="CPF/CNPJ" operator="between" prompt="Somente números (11 ou 14 dígitos)." promptTitle="CPF/CNPJ" showDropDown="false" showErrorMessage="true" showInputMessage="true" sqref="B19:B28" type="custom">
      <formula1>OR(LEN(B19)=11,LEN(B19)=14)</formula1>
      <formula2>0</formula2>
    </dataValidation>
    <dataValidation allowBlank="true" error="Escolha uma opção da lista." errorStyle="stop" errorTitle="Valor inválido" operator="between" prompt="Escolha o parentesco." promptTitle="Dica" showDropDown="false" showErrorMessage="true" showInputMessage="true" sqref="C19:C28" type="list">
      <formula1>Listas!$G$6:$G$9</formula1>
      <formula2>0</formula2>
    </dataValidation>
    <dataValidation allowBlank="true" error="Informe uma data válida (dd/mm/aaaa)." errorStyle="stop" errorTitle="Data inválida" operator="between" showDropDown="false" showErrorMessage="true" showInputMessage="false" sqref="D19:D28" type="date">
      <formula1>DATE(1990,1,1)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27</v>
      </c>
    </row>
    <row r="3" customFormat="false" ht="15" hidden="false" customHeight="false" outlineLevel="0" collapsed="false">
      <c r="A3" s="11" t="s">
        <v>80</v>
      </c>
    </row>
    <row r="5" customFormat="false" ht="30" hidden="false" customHeight="true" outlineLevel="0" collapsed="false">
      <c r="A5" s="23" t="s">
        <v>81</v>
      </c>
      <c r="B5" s="23" t="s">
        <v>82</v>
      </c>
      <c r="C5" s="23" t="s">
        <v>83</v>
      </c>
      <c r="D5" s="23" t="s">
        <v>84</v>
      </c>
      <c r="E5" s="23" t="s">
        <v>85</v>
      </c>
      <c r="F5" s="23" t="s">
        <v>86</v>
      </c>
      <c r="G5" s="23" t="s">
        <v>87</v>
      </c>
    </row>
    <row r="6" customFormat="false" ht="15" hidden="false" customHeight="false" outlineLevel="0" collapsed="false">
      <c r="A6" s="26" t="n">
        <v>46053</v>
      </c>
      <c r="B6" s="24" t="s">
        <v>88</v>
      </c>
      <c r="C6" s="25" t="s">
        <v>89</v>
      </c>
      <c r="D6" s="24" t="s">
        <v>28</v>
      </c>
      <c r="E6" s="17" t="n">
        <v>4500</v>
      </c>
      <c r="F6" s="17" t="n">
        <v>320.5</v>
      </c>
      <c r="G6" s="24" t="s">
        <v>90</v>
      </c>
    </row>
    <row r="7" customFormat="false" ht="15" hidden="false" customHeight="false" outlineLevel="0" collapsed="false">
      <c r="A7" s="26"/>
      <c r="B7" s="24"/>
      <c r="C7" s="25"/>
      <c r="D7" s="24"/>
      <c r="E7" s="17"/>
      <c r="F7" s="17"/>
      <c r="G7" s="24"/>
    </row>
    <row r="8" customFormat="false" ht="15" hidden="false" customHeight="false" outlineLevel="0" collapsed="false">
      <c r="A8" s="26"/>
      <c r="B8" s="24"/>
      <c r="C8" s="25"/>
      <c r="D8" s="24"/>
      <c r="E8" s="17"/>
      <c r="F8" s="17"/>
      <c r="G8" s="24"/>
    </row>
    <row r="9" customFormat="false" ht="15" hidden="false" customHeight="false" outlineLevel="0" collapsed="false">
      <c r="A9" s="26"/>
      <c r="B9" s="24"/>
      <c r="C9" s="25"/>
      <c r="D9" s="24"/>
      <c r="E9" s="17"/>
      <c r="F9" s="17"/>
      <c r="G9" s="24"/>
    </row>
    <row r="10" customFormat="false" ht="15" hidden="false" customHeight="false" outlineLevel="0" collapsed="false">
      <c r="A10" s="26"/>
      <c r="B10" s="24"/>
      <c r="C10" s="25"/>
      <c r="D10" s="24"/>
      <c r="E10" s="17"/>
      <c r="F10" s="17"/>
      <c r="G10" s="24"/>
    </row>
    <row r="11" customFormat="false" ht="15" hidden="false" customHeight="false" outlineLevel="0" collapsed="false">
      <c r="A11" s="26"/>
      <c r="B11" s="24"/>
      <c r="C11" s="25"/>
      <c r="D11" s="24"/>
      <c r="E11" s="17"/>
      <c r="F11" s="17"/>
      <c r="G11" s="24"/>
    </row>
    <row r="12" customFormat="false" ht="15" hidden="false" customHeight="false" outlineLevel="0" collapsed="false">
      <c r="A12" s="26"/>
      <c r="B12" s="24"/>
      <c r="C12" s="25"/>
      <c r="D12" s="24"/>
      <c r="E12" s="17"/>
      <c r="F12" s="17"/>
      <c r="G12" s="24"/>
    </row>
    <row r="13" customFormat="false" ht="15" hidden="false" customHeight="false" outlineLevel="0" collapsed="false">
      <c r="A13" s="26"/>
      <c r="B13" s="24"/>
      <c r="C13" s="25"/>
      <c r="D13" s="24"/>
      <c r="E13" s="17"/>
      <c r="F13" s="17"/>
      <c r="G13" s="24"/>
    </row>
    <row r="14" customFormat="false" ht="15" hidden="false" customHeight="false" outlineLevel="0" collapsed="false">
      <c r="A14" s="26"/>
      <c r="B14" s="24"/>
      <c r="C14" s="25"/>
      <c r="D14" s="24"/>
      <c r="E14" s="17"/>
      <c r="F14" s="17"/>
      <c r="G14" s="24"/>
    </row>
    <row r="15" customFormat="false" ht="15" hidden="false" customHeight="false" outlineLevel="0" collapsed="false">
      <c r="A15" s="26"/>
      <c r="B15" s="24"/>
      <c r="C15" s="25"/>
      <c r="D15" s="24"/>
      <c r="E15" s="17"/>
      <c r="F15" s="17"/>
      <c r="G15" s="24"/>
    </row>
    <row r="16" customFormat="false" ht="15" hidden="false" customHeight="false" outlineLevel="0" collapsed="false">
      <c r="A16" s="26"/>
      <c r="B16" s="24"/>
      <c r="C16" s="25"/>
      <c r="D16" s="24"/>
      <c r="E16" s="17"/>
      <c r="F16" s="17"/>
      <c r="G16" s="24"/>
    </row>
    <row r="17" customFormat="false" ht="15" hidden="false" customHeight="false" outlineLevel="0" collapsed="false">
      <c r="A17" s="26"/>
      <c r="B17" s="24"/>
      <c r="C17" s="25"/>
      <c r="D17" s="24"/>
      <c r="E17" s="17"/>
      <c r="F17" s="17"/>
      <c r="G17" s="24"/>
    </row>
    <row r="18" customFormat="false" ht="15" hidden="false" customHeight="false" outlineLevel="0" collapsed="false">
      <c r="A18" s="26"/>
      <c r="B18" s="24"/>
      <c r="C18" s="25"/>
      <c r="D18" s="24"/>
      <c r="E18" s="17"/>
      <c r="F18" s="17"/>
      <c r="G18" s="24"/>
    </row>
    <row r="19" customFormat="false" ht="15" hidden="false" customHeight="false" outlineLevel="0" collapsed="false">
      <c r="A19" s="26"/>
      <c r="B19" s="24"/>
      <c r="C19" s="25"/>
      <c r="D19" s="24"/>
      <c r="E19" s="17"/>
      <c r="F19" s="17"/>
      <c r="G19" s="24"/>
    </row>
    <row r="20" customFormat="false" ht="15" hidden="false" customHeight="false" outlineLevel="0" collapsed="false">
      <c r="A20" s="26"/>
      <c r="B20" s="24"/>
      <c r="C20" s="25"/>
      <c r="D20" s="24"/>
      <c r="E20" s="17"/>
      <c r="F20" s="17"/>
      <c r="G20" s="24"/>
    </row>
    <row r="21" customFormat="false" ht="15" hidden="false" customHeight="false" outlineLevel="0" collapsed="false">
      <c r="A21" s="26"/>
      <c r="B21" s="24"/>
      <c r="C21" s="25"/>
      <c r="D21" s="24"/>
      <c r="E21" s="17"/>
      <c r="F21" s="17"/>
      <c r="G21" s="24"/>
    </row>
    <row r="22" customFormat="false" ht="15" hidden="false" customHeight="false" outlineLevel="0" collapsed="false">
      <c r="A22" s="26"/>
      <c r="B22" s="24"/>
      <c r="C22" s="25"/>
      <c r="D22" s="24"/>
      <c r="E22" s="17"/>
      <c r="F22" s="17"/>
      <c r="G22" s="24"/>
    </row>
    <row r="23" customFormat="false" ht="15" hidden="false" customHeight="false" outlineLevel="0" collapsed="false">
      <c r="A23" s="26"/>
      <c r="B23" s="24"/>
      <c r="C23" s="25"/>
      <c r="D23" s="24"/>
      <c r="E23" s="17"/>
      <c r="F23" s="17"/>
      <c r="G23" s="24"/>
    </row>
    <row r="24" customFormat="false" ht="15" hidden="false" customHeight="false" outlineLevel="0" collapsed="false">
      <c r="A24" s="26"/>
      <c r="B24" s="24"/>
      <c r="C24" s="25"/>
      <c r="D24" s="24"/>
      <c r="E24" s="17"/>
      <c r="F24" s="17"/>
      <c r="G24" s="24"/>
    </row>
    <row r="25" customFormat="false" ht="15" hidden="false" customHeight="false" outlineLevel="0" collapsed="false">
      <c r="A25" s="26"/>
      <c r="B25" s="24"/>
      <c r="C25" s="25"/>
      <c r="D25" s="24"/>
      <c r="E25" s="17"/>
      <c r="F25" s="17"/>
      <c r="G25" s="24"/>
    </row>
    <row r="26" customFormat="false" ht="15" hidden="false" customHeight="false" outlineLevel="0" collapsed="false">
      <c r="A26" s="26"/>
      <c r="B26" s="24"/>
      <c r="C26" s="25"/>
      <c r="D26" s="24"/>
      <c r="E26" s="17"/>
      <c r="F26" s="17"/>
      <c r="G26" s="24"/>
    </row>
    <row r="27" customFormat="false" ht="15" hidden="false" customHeight="false" outlineLevel="0" collapsed="false">
      <c r="A27" s="26"/>
      <c r="B27" s="24"/>
      <c r="C27" s="25"/>
      <c r="D27" s="24"/>
      <c r="E27" s="17"/>
      <c r="F27" s="17"/>
      <c r="G27" s="24"/>
    </row>
    <row r="28" customFormat="false" ht="15" hidden="false" customHeight="false" outlineLevel="0" collapsed="false">
      <c r="A28" s="26"/>
      <c r="B28" s="24"/>
      <c r="C28" s="25"/>
      <c r="D28" s="24"/>
      <c r="E28" s="17"/>
      <c r="F28" s="17"/>
      <c r="G28" s="24"/>
    </row>
    <row r="29" customFormat="false" ht="15" hidden="false" customHeight="false" outlineLevel="0" collapsed="false">
      <c r="A29" s="26"/>
      <c r="B29" s="24"/>
      <c r="C29" s="25"/>
      <c r="D29" s="24"/>
      <c r="E29" s="17"/>
      <c r="F29" s="17"/>
      <c r="G29" s="24"/>
    </row>
    <row r="30" customFormat="false" ht="15" hidden="false" customHeight="false" outlineLevel="0" collapsed="false">
      <c r="A30" s="26"/>
      <c r="B30" s="24"/>
      <c r="C30" s="25"/>
      <c r="D30" s="24"/>
      <c r="E30" s="17"/>
      <c r="F30" s="17"/>
      <c r="G30" s="24"/>
    </row>
    <row r="31" customFormat="false" ht="15" hidden="false" customHeight="false" outlineLevel="0" collapsed="false">
      <c r="A31" s="26"/>
      <c r="B31" s="24"/>
      <c r="C31" s="25"/>
      <c r="D31" s="24"/>
      <c r="E31" s="17"/>
      <c r="F31" s="17"/>
      <c r="G31" s="24"/>
    </row>
    <row r="32" customFormat="false" ht="15" hidden="false" customHeight="false" outlineLevel="0" collapsed="false">
      <c r="A32" s="26"/>
      <c r="B32" s="24"/>
      <c r="C32" s="25"/>
      <c r="D32" s="24"/>
      <c r="E32" s="17"/>
      <c r="F32" s="17"/>
      <c r="G32" s="24"/>
    </row>
    <row r="33" customFormat="false" ht="15" hidden="false" customHeight="false" outlineLevel="0" collapsed="false">
      <c r="A33" s="26"/>
      <c r="B33" s="24"/>
      <c r="C33" s="25"/>
      <c r="D33" s="24"/>
      <c r="E33" s="17"/>
      <c r="F33" s="17"/>
      <c r="G33" s="24"/>
    </row>
    <row r="34" customFormat="false" ht="15" hidden="false" customHeight="false" outlineLevel="0" collapsed="false">
      <c r="A34" s="26"/>
      <c r="B34" s="24"/>
      <c r="C34" s="25"/>
      <c r="D34" s="24"/>
      <c r="E34" s="17"/>
      <c r="F34" s="17"/>
      <c r="G34" s="24"/>
    </row>
    <row r="35" customFormat="false" ht="15" hidden="false" customHeight="false" outlineLevel="0" collapsed="false">
      <c r="A35" s="26"/>
      <c r="B35" s="24"/>
      <c r="C35" s="25"/>
      <c r="D35" s="24"/>
      <c r="E35" s="17"/>
      <c r="F35" s="17"/>
      <c r="G35" s="24"/>
    </row>
    <row r="36" customFormat="false" ht="15" hidden="false" customHeight="false" outlineLevel="0" collapsed="false">
      <c r="A36" s="26"/>
      <c r="B36" s="24"/>
      <c r="C36" s="25"/>
      <c r="D36" s="24"/>
      <c r="E36" s="17"/>
      <c r="F36" s="17"/>
      <c r="G36" s="24"/>
    </row>
    <row r="37" customFormat="false" ht="15" hidden="false" customHeight="false" outlineLevel="0" collapsed="false">
      <c r="A37" s="26"/>
      <c r="B37" s="24"/>
      <c r="C37" s="25"/>
      <c r="D37" s="24"/>
      <c r="E37" s="17"/>
      <c r="F37" s="17"/>
      <c r="G37" s="24"/>
    </row>
    <row r="38" customFormat="false" ht="15" hidden="false" customHeight="false" outlineLevel="0" collapsed="false">
      <c r="A38" s="26"/>
      <c r="B38" s="24"/>
      <c r="C38" s="25"/>
      <c r="D38" s="24"/>
      <c r="E38" s="17"/>
      <c r="F38" s="17"/>
      <c r="G38" s="24"/>
    </row>
    <row r="39" customFormat="false" ht="15" hidden="false" customHeight="false" outlineLevel="0" collapsed="false">
      <c r="A39" s="26"/>
      <c r="B39" s="24"/>
      <c r="C39" s="25"/>
      <c r="D39" s="24"/>
      <c r="E39" s="17"/>
      <c r="F39" s="17"/>
      <c r="G39" s="24"/>
    </row>
    <row r="40" customFormat="false" ht="15" hidden="false" customHeight="false" outlineLevel="0" collapsed="false">
      <c r="A40" s="26"/>
      <c r="B40" s="24"/>
      <c r="C40" s="25"/>
      <c r="D40" s="24"/>
      <c r="E40" s="17"/>
      <c r="F40" s="17"/>
      <c r="G40" s="24"/>
    </row>
    <row r="41" customFormat="false" ht="15" hidden="false" customHeight="false" outlineLevel="0" collapsed="false">
      <c r="A41" s="26"/>
      <c r="B41" s="24"/>
      <c r="C41" s="25"/>
      <c r="D41" s="24"/>
      <c r="E41" s="17"/>
      <c r="F41" s="17"/>
      <c r="G41" s="24"/>
    </row>
    <row r="42" customFormat="false" ht="15" hidden="false" customHeight="false" outlineLevel="0" collapsed="false">
      <c r="A42" s="26"/>
      <c r="B42" s="24"/>
      <c r="C42" s="25"/>
      <c r="D42" s="24"/>
      <c r="E42" s="17"/>
      <c r="F42" s="17"/>
      <c r="G42" s="24"/>
    </row>
    <row r="43" customFormat="false" ht="15" hidden="false" customHeight="false" outlineLevel="0" collapsed="false">
      <c r="A43" s="26"/>
      <c r="B43" s="24"/>
      <c r="C43" s="25"/>
      <c r="D43" s="24"/>
      <c r="E43" s="17"/>
      <c r="F43" s="17"/>
      <c r="G43" s="24"/>
    </row>
    <row r="44" customFormat="false" ht="15" hidden="false" customHeight="false" outlineLevel="0" collapsed="false">
      <c r="A44" s="26"/>
      <c r="B44" s="24"/>
      <c r="C44" s="25"/>
      <c r="D44" s="24"/>
      <c r="E44" s="17"/>
      <c r="F44" s="17"/>
      <c r="G44" s="24"/>
    </row>
    <row r="45" customFormat="false" ht="15" hidden="false" customHeight="false" outlineLevel="0" collapsed="false">
      <c r="A45" s="26"/>
      <c r="B45" s="24"/>
      <c r="C45" s="25"/>
      <c r="D45" s="24"/>
      <c r="E45" s="17"/>
      <c r="F45" s="17"/>
      <c r="G45" s="24"/>
    </row>
    <row r="46" customFormat="false" ht="15" hidden="false" customHeight="false" outlineLevel="0" collapsed="false">
      <c r="A46" s="26"/>
      <c r="B46" s="24"/>
      <c r="C46" s="25"/>
      <c r="D46" s="24"/>
      <c r="E46" s="17"/>
      <c r="F46" s="17"/>
      <c r="G46" s="24"/>
    </row>
    <row r="47" customFormat="false" ht="15" hidden="false" customHeight="false" outlineLevel="0" collapsed="false">
      <c r="A47" s="26"/>
      <c r="B47" s="24"/>
      <c r="C47" s="25"/>
      <c r="D47" s="24"/>
      <c r="E47" s="17"/>
      <c r="F47" s="17"/>
      <c r="G47" s="24"/>
    </row>
    <row r="48" customFormat="false" ht="15" hidden="false" customHeight="false" outlineLevel="0" collapsed="false">
      <c r="A48" s="26"/>
      <c r="B48" s="24"/>
      <c r="C48" s="25"/>
      <c r="D48" s="24"/>
      <c r="E48" s="17"/>
      <c r="F48" s="17"/>
      <c r="G48" s="24"/>
    </row>
    <row r="49" customFormat="false" ht="15" hidden="false" customHeight="false" outlineLevel="0" collapsed="false">
      <c r="A49" s="26"/>
      <c r="B49" s="24"/>
      <c r="C49" s="25"/>
      <c r="D49" s="24"/>
      <c r="E49" s="17"/>
      <c r="F49" s="17"/>
      <c r="G49" s="24"/>
    </row>
    <row r="50" customFormat="false" ht="15" hidden="false" customHeight="false" outlineLevel="0" collapsed="false">
      <c r="A50" s="26"/>
      <c r="B50" s="24"/>
      <c r="C50" s="25"/>
      <c r="D50" s="24"/>
      <c r="E50" s="17"/>
      <c r="F50" s="17"/>
      <c r="G50" s="24"/>
    </row>
    <row r="51" customFormat="false" ht="15" hidden="false" customHeight="false" outlineLevel="0" collapsed="false">
      <c r="A51" s="26"/>
      <c r="B51" s="24"/>
      <c r="C51" s="25"/>
      <c r="D51" s="24"/>
      <c r="E51" s="17"/>
      <c r="F51" s="17"/>
      <c r="G51" s="24"/>
    </row>
    <row r="52" customFormat="false" ht="15" hidden="false" customHeight="false" outlineLevel="0" collapsed="false">
      <c r="A52" s="26"/>
      <c r="B52" s="24"/>
      <c r="C52" s="25"/>
      <c r="D52" s="24"/>
      <c r="E52" s="17"/>
      <c r="F52" s="17"/>
      <c r="G52" s="24"/>
    </row>
    <row r="53" customFormat="false" ht="15" hidden="false" customHeight="false" outlineLevel="0" collapsed="false">
      <c r="A53" s="26"/>
      <c r="B53" s="24"/>
      <c r="C53" s="25"/>
      <c r="D53" s="24"/>
      <c r="E53" s="17"/>
      <c r="F53" s="17"/>
      <c r="G53" s="24"/>
    </row>
    <row r="54" customFormat="false" ht="15" hidden="false" customHeight="false" outlineLevel="0" collapsed="false">
      <c r="A54" s="26"/>
      <c r="B54" s="24"/>
      <c r="C54" s="25"/>
      <c r="D54" s="24"/>
      <c r="E54" s="17"/>
      <c r="F54" s="17"/>
      <c r="G54" s="24"/>
    </row>
    <row r="55" customFormat="false" ht="15" hidden="false" customHeight="false" outlineLevel="0" collapsed="false">
      <c r="A55" s="26"/>
      <c r="B55" s="24"/>
      <c r="C55" s="25"/>
      <c r="D55" s="24"/>
      <c r="E55" s="17"/>
      <c r="F55" s="17"/>
      <c r="G55" s="24"/>
    </row>
    <row r="56" customFormat="false" ht="15" hidden="false" customHeight="false" outlineLevel="0" collapsed="false">
      <c r="A56" s="26"/>
      <c r="B56" s="24"/>
      <c r="C56" s="25"/>
      <c r="D56" s="24"/>
      <c r="E56" s="17"/>
      <c r="F56" s="17"/>
      <c r="G56" s="24"/>
    </row>
    <row r="57" customFormat="false" ht="15" hidden="false" customHeight="false" outlineLevel="0" collapsed="false">
      <c r="A57" s="26"/>
      <c r="B57" s="24"/>
      <c r="C57" s="25"/>
      <c r="D57" s="24"/>
      <c r="E57" s="17"/>
      <c r="F57" s="17"/>
      <c r="G57" s="24"/>
    </row>
    <row r="58" customFormat="false" ht="15" hidden="false" customHeight="false" outlineLevel="0" collapsed="false">
      <c r="A58" s="26"/>
      <c r="B58" s="24"/>
      <c r="C58" s="25"/>
      <c r="D58" s="24"/>
      <c r="E58" s="17"/>
      <c r="F58" s="17"/>
      <c r="G58" s="24"/>
    </row>
    <row r="59" customFormat="false" ht="15" hidden="false" customHeight="false" outlineLevel="0" collapsed="false">
      <c r="A59" s="26"/>
      <c r="B59" s="24"/>
      <c r="C59" s="25"/>
      <c r="D59" s="24"/>
      <c r="E59" s="17"/>
      <c r="F59" s="17"/>
      <c r="G59" s="24"/>
    </row>
    <row r="60" customFormat="false" ht="15" hidden="false" customHeight="false" outlineLevel="0" collapsed="false">
      <c r="A60" s="26"/>
      <c r="B60" s="24"/>
      <c r="C60" s="25"/>
      <c r="D60" s="24"/>
      <c r="E60" s="17"/>
      <c r="F60" s="17"/>
      <c r="G60" s="24"/>
    </row>
    <row r="61" customFormat="false" ht="15" hidden="false" customHeight="false" outlineLevel="0" collapsed="false">
      <c r="A61" s="26"/>
      <c r="B61" s="24"/>
      <c r="C61" s="25"/>
      <c r="D61" s="24"/>
      <c r="E61" s="17"/>
      <c r="F61" s="17"/>
      <c r="G61" s="24"/>
    </row>
    <row r="62" customFormat="false" ht="15" hidden="false" customHeight="false" outlineLevel="0" collapsed="false">
      <c r="A62" s="26"/>
      <c r="B62" s="24"/>
      <c r="C62" s="25"/>
      <c r="D62" s="24"/>
      <c r="E62" s="17"/>
      <c r="F62" s="17"/>
      <c r="G62" s="24"/>
    </row>
    <row r="63" customFormat="false" ht="15" hidden="false" customHeight="false" outlineLevel="0" collapsed="false">
      <c r="A63" s="26"/>
      <c r="B63" s="24"/>
      <c r="C63" s="25"/>
      <c r="D63" s="24"/>
      <c r="E63" s="17"/>
      <c r="F63" s="17"/>
      <c r="G63" s="24"/>
    </row>
    <row r="64" customFormat="false" ht="15" hidden="false" customHeight="false" outlineLevel="0" collapsed="false">
      <c r="A64" s="26"/>
      <c r="B64" s="24"/>
      <c r="C64" s="25"/>
      <c r="D64" s="24"/>
      <c r="E64" s="17"/>
      <c r="F64" s="17"/>
      <c r="G64" s="24"/>
    </row>
    <row r="65" customFormat="false" ht="15" hidden="false" customHeight="false" outlineLevel="0" collapsed="false">
      <c r="A65" s="26"/>
      <c r="B65" s="24"/>
      <c r="C65" s="25"/>
      <c r="D65" s="24"/>
      <c r="E65" s="17"/>
      <c r="F65" s="17"/>
      <c r="G65" s="24"/>
    </row>
    <row r="66" customFormat="false" ht="15" hidden="false" customHeight="false" outlineLevel="0" collapsed="false">
      <c r="A66" s="26"/>
      <c r="B66" s="24"/>
      <c r="C66" s="25"/>
      <c r="D66" s="24"/>
      <c r="E66" s="17"/>
      <c r="F66" s="17"/>
      <c r="G66" s="24"/>
    </row>
    <row r="67" customFormat="false" ht="15" hidden="false" customHeight="false" outlineLevel="0" collapsed="false">
      <c r="A67" s="26"/>
      <c r="B67" s="24"/>
      <c r="C67" s="25"/>
      <c r="D67" s="24"/>
      <c r="E67" s="17"/>
      <c r="F67" s="17"/>
      <c r="G67" s="24"/>
    </row>
    <row r="68" customFormat="false" ht="15" hidden="false" customHeight="false" outlineLevel="0" collapsed="false">
      <c r="A68" s="26"/>
      <c r="B68" s="24"/>
      <c r="C68" s="25"/>
      <c r="D68" s="24"/>
      <c r="E68" s="17"/>
      <c r="F68" s="17"/>
      <c r="G68" s="24"/>
    </row>
    <row r="69" customFormat="false" ht="15" hidden="false" customHeight="false" outlineLevel="0" collapsed="false">
      <c r="A69" s="26"/>
      <c r="B69" s="24"/>
      <c r="C69" s="25"/>
      <c r="D69" s="24"/>
      <c r="E69" s="17"/>
      <c r="F69" s="17"/>
      <c r="G69" s="24"/>
    </row>
    <row r="70" customFormat="false" ht="15" hidden="false" customHeight="false" outlineLevel="0" collapsed="false">
      <c r="A70" s="26"/>
      <c r="B70" s="24"/>
      <c r="C70" s="25"/>
      <c r="D70" s="24"/>
      <c r="E70" s="17"/>
      <c r="F70" s="17"/>
      <c r="G70" s="24"/>
    </row>
    <row r="71" customFormat="false" ht="15" hidden="false" customHeight="false" outlineLevel="0" collapsed="false">
      <c r="A71" s="26"/>
      <c r="B71" s="24"/>
      <c r="C71" s="25"/>
      <c r="D71" s="24"/>
      <c r="E71" s="17"/>
      <c r="F71" s="17"/>
      <c r="G71" s="24"/>
    </row>
    <row r="72" customFormat="false" ht="15" hidden="false" customHeight="false" outlineLevel="0" collapsed="false">
      <c r="A72" s="26"/>
      <c r="B72" s="24"/>
      <c r="C72" s="25"/>
      <c r="D72" s="24"/>
      <c r="E72" s="17"/>
      <c r="F72" s="17"/>
      <c r="G72" s="24"/>
    </row>
    <row r="73" customFormat="false" ht="15" hidden="false" customHeight="false" outlineLevel="0" collapsed="false">
      <c r="A73" s="26"/>
      <c r="B73" s="24"/>
      <c r="C73" s="25"/>
      <c r="D73" s="24"/>
      <c r="E73" s="17"/>
      <c r="F73" s="17"/>
      <c r="G73" s="24"/>
    </row>
    <row r="74" customFormat="false" ht="15" hidden="false" customHeight="false" outlineLevel="0" collapsed="false">
      <c r="A74" s="26"/>
      <c r="B74" s="24"/>
      <c r="C74" s="25"/>
      <c r="D74" s="24"/>
      <c r="E74" s="17"/>
      <c r="F74" s="17"/>
      <c r="G74" s="24"/>
    </row>
    <row r="75" customFormat="false" ht="15" hidden="false" customHeight="false" outlineLevel="0" collapsed="false">
      <c r="A75" s="26"/>
      <c r="B75" s="24"/>
      <c r="C75" s="25"/>
      <c r="D75" s="24"/>
      <c r="E75" s="17"/>
      <c r="F75" s="17"/>
      <c r="G75" s="24"/>
    </row>
    <row r="76" customFormat="false" ht="15" hidden="false" customHeight="false" outlineLevel="0" collapsed="false">
      <c r="A76" s="26"/>
      <c r="B76" s="24"/>
      <c r="C76" s="25"/>
      <c r="D76" s="24"/>
      <c r="E76" s="17"/>
      <c r="F76" s="17"/>
      <c r="G76" s="24"/>
    </row>
    <row r="77" customFormat="false" ht="15" hidden="false" customHeight="false" outlineLevel="0" collapsed="false">
      <c r="A77" s="26"/>
      <c r="B77" s="24"/>
      <c r="C77" s="25"/>
      <c r="D77" s="24"/>
      <c r="E77" s="17"/>
      <c r="F77" s="17"/>
      <c r="G77" s="24"/>
    </row>
    <row r="78" customFormat="false" ht="15" hidden="false" customHeight="false" outlineLevel="0" collapsed="false">
      <c r="A78" s="26"/>
      <c r="B78" s="24"/>
      <c r="C78" s="25"/>
      <c r="D78" s="24"/>
      <c r="E78" s="17"/>
      <c r="F78" s="17"/>
      <c r="G78" s="24"/>
    </row>
    <row r="79" customFormat="false" ht="15" hidden="false" customHeight="false" outlineLevel="0" collapsed="false">
      <c r="A79" s="26"/>
      <c r="B79" s="24"/>
      <c r="C79" s="25"/>
      <c r="D79" s="24"/>
      <c r="E79" s="17"/>
      <c r="F79" s="17"/>
      <c r="G79" s="24"/>
    </row>
    <row r="80" customFormat="false" ht="15" hidden="false" customHeight="false" outlineLevel="0" collapsed="false">
      <c r="A80" s="26"/>
      <c r="B80" s="24"/>
      <c r="C80" s="25"/>
      <c r="D80" s="24"/>
      <c r="E80" s="17"/>
      <c r="F80" s="17"/>
      <c r="G80" s="24"/>
    </row>
    <row r="81" customFormat="false" ht="15" hidden="false" customHeight="false" outlineLevel="0" collapsed="false">
      <c r="A81" s="26"/>
      <c r="B81" s="24"/>
      <c r="C81" s="25"/>
      <c r="D81" s="24"/>
      <c r="E81" s="17"/>
      <c r="F81" s="17"/>
      <c r="G81" s="24"/>
    </row>
    <row r="82" customFormat="false" ht="15" hidden="false" customHeight="false" outlineLevel="0" collapsed="false">
      <c r="A82" s="26"/>
      <c r="B82" s="24"/>
      <c r="C82" s="25"/>
      <c r="D82" s="24"/>
      <c r="E82" s="17"/>
      <c r="F82" s="17"/>
      <c r="G82" s="24"/>
    </row>
    <row r="83" customFormat="false" ht="15" hidden="false" customHeight="false" outlineLevel="0" collapsed="false">
      <c r="A83" s="26"/>
      <c r="B83" s="24"/>
      <c r="C83" s="25"/>
      <c r="D83" s="24"/>
      <c r="E83" s="17"/>
      <c r="F83" s="17"/>
      <c r="G83" s="24"/>
    </row>
    <row r="84" customFormat="false" ht="15" hidden="false" customHeight="false" outlineLevel="0" collapsed="false">
      <c r="A84" s="26"/>
      <c r="B84" s="24"/>
      <c r="C84" s="25"/>
      <c r="D84" s="24"/>
      <c r="E84" s="17"/>
      <c r="F84" s="17"/>
      <c r="G84" s="24"/>
    </row>
    <row r="85" customFormat="false" ht="15" hidden="false" customHeight="false" outlineLevel="0" collapsed="false">
      <c r="A85" s="26"/>
      <c r="B85" s="24"/>
      <c r="C85" s="25"/>
      <c r="D85" s="24"/>
      <c r="E85" s="17"/>
      <c r="F85" s="17"/>
      <c r="G85" s="24"/>
    </row>
    <row r="86" customFormat="false" ht="15" hidden="false" customHeight="false" outlineLevel="0" collapsed="false">
      <c r="A86" s="26"/>
      <c r="B86" s="24"/>
      <c r="C86" s="25"/>
      <c r="D86" s="24"/>
      <c r="E86" s="17"/>
      <c r="F86" s="17"/>
      <c r="G86" s="24"/>
    </row>
    <row r="87" customFormat="false" ht="15" hidden="false" customHeight="false" outlineLevel="0" collapsed="false">
      <c r="A87" s="26"/>
      <c r="B87" s="24"/>
      <c r="C87" s="25"/>
      <c r="D87" s="24"/>
      <c r="E87" s="17"/>
      <c r="F87" s="17"/>
      <c r="G87" s="24"/>
    </row>
    <row r="88" customFormat="false" ht="15" hidden="false" customHeight="false" outlineLevel="0" collapsed="false">
      <c r="A88" s="26"/>
      <c r="B88" s="24"/>
      <c r="C88" s="25"/>
      <c r="D88" s="24"/>
      <c r="E88" s="17"/>
      <c r="F88" s="17"/>
      <c r="G88" s="24"/>
    </row>
    <row r="89" customFormat="false" ht="15" hidden="false" customHeight="false" outlineLevel="0" collapsed="false">
      <c r="A89" s="26"/>
      <c r="B89" s="24"/>
      <c r="C89" s="25"/>
      <c r="D89" s="24"/>
      <c r="E89" s="17"/>
      <c r="F89" s="17"/>
      <c r="G89" s="24"/>
    </row>
    <row r="90" customFormat="false" ht="15" hidden="false" customHeight="false" outlineLevel="0" collapsed="false">
      <c r="A90" s="26"/>
      <c r="B90" s="24"/>
      <c r="C90" s="25"/>
      <c r="D90" s="24"/>
      <c r="E90" s="17"/>
      <c r="F90" s="17"/>
      <c r="G90" s="24"/>
    </row>
    <row r="91" customFormat="false" ht="15" hidden="false" customHeight="false" outlineLevel="0" collapsed="false">
      <c r="A91" s="26"/>
      <c r="B91" s="24"/>
      <c r="C91" s="25"/>
      <c r="D91" s="24"/>
      <c r="E91" s="17"/>
      <c r="F91" s="17"/>
      <c r="G91" s="24"/>
    </row>
    <row r="92" customFormat="false" ht="15" hidden="false" customHeight="false" outlineLevel="0" collapsed="false">
      <c r="A92" s="26"/>
      <c r="B92" s="24"/>
      <c r="C92" s="25"/>
      <c r="D92" s="24"/>
      <c r="E92" s="17"/>
      <c r="F92" s="17"/>
      <c r="G92" s="24"/>
    </row>
    <row r="93" customFormat="false" ht="15" hidden="false" customHeight="false" outlineLevel="0" collapsed="false">
      <c r="A93" s="26"/>
      <c r="B93" s="24"/>
      <c r="C93" s="25"/>
      <c r="D93" s="24"/>
      <c r="E93" s="17"/>
      <c r="F93" s="17"/>
      <c r="G93" s="24"/>
    </row>
    <row r="94" customFormat="false" ht="15" hidden="false" customHeight="false" outlineLevel="0" collapsed="false">
      <c r="A94" s="26"/>
      <c r="B94" s="24"/>
      <c r="C94" s="25"/>
      <c r="D94" s="24"/>
      <c r="E94" s="17"/>
      <c r="F94" s="17"/>
      <c r="G94" s="24"/>
    </row>
    <row r="95" customFormat="false" ht="15" hidden="false" customHeight="false" outlineLevel="0" collapsed="false">
      <c r="A95" s="26"/>
      <c r="B95" s="24"/>
      <c r="C95" s="25"/>
      <c r="D95" s="24"/>
      <c r="E95" s="17"/>
      <c r="F95" s="17"/>
      <c r="G95" s="24"/>
    </row>
    <row r="96" customFormat="false" ht="15" hidden="false" customHeight="false" outlineLevel="0" collapsed="false">
      <c r="A96" s="26"/>
      <c r="B96" s="24"/>
      <c r="C96" s="25"/>
      <c r="D96" s="24"/>
      <c r="E96" s="17"/>
      <c r="F96" s="17"/>
      <c r="G96" s="24"/>
    </row>
    <row r="97" customFormat="false" ht="15" hidden="false" customHeight="false" outlineLevel="0" collapsed="false">
      <c r="A97" s="26"/>
      <c r="B97" s="24"/>
      <c r="C97" s="25"/>
      <c r="D97" s="24"/>
      <c r="E97" s="17"/>
      <c r="F97" s="17"/>
      <c r="G97" s="24"/>
    </row>
    <row r="98" customFormat="false" ht="15" hidden="false" customHeight="false" outlineLevel="0" collapsed="false">
      <c r="A98" s="26"/>
      <c r="B98" s="24"/>
      <c r="C98" s="25"/>
      <c r="D98" s="24"/>
      <c r="E98" s="17"/>
      <c r="F98" s="17"/>
      <c r="G98" s="24"/>
    </row>
    <row r="99" customFormat="false" ht="15" hidden="false" customHeight="false" outlineLevel="0" collapsed="false">
      <c r="A99" s="26"/>
      <c r="B99" s="24"/>
      <c r="C99" s="25"/>
      <c r="D99" s="24"/>
      <c r="E99" s="17"/>
      <c r="F99" s="17"/>
      <c r="G99" s="24"/>
    </row>
    <row r="100" customFormat="false" ht="15" hidden="false" customHeight="false" outlineLevel="0" collapsed="false">
      <c r="A100" s="26"/>
      <c r="B100" s="24"/>
      <c r="C100" s="25"/>
      <c r="D100" s="24"/>
      <c r="E100" s="17"/>
      <c r="F100" s="17"/>
      <c r="G100" s="24"/>
    </row>
    <row r="101" customFormat="false" ht="15" hidden="false" customHeight="false" outlineLevel="0" collapsed="false">
      <c r="A101" s="26"/>
      <c r="B101" s="24"/>
      <c r="C101" s="25"/>
      <c r="D101" s="24"/>
      <c r="E101" s="17"/>
      <c r="F101" s="17"/>
      <c r="G101" s="24"/>
    </row>
    <row r="102" customFormat="false" ht="15" hidden="false" customHeight="false" outlineLevel="0" collapsed="false">
      <c r="A102" s="26"/>
      <c r="B102" s="24"/>
      <c r="C102" s="25"/>
      <c r="D102" s="24"/>
      <c r="E102" s="17"/>
      <c r="F102" s="17"/>
      <c r="G102" s="24"/>
    </row>
    <row r="103" customFormat="false" ht="15" hidden="false" customHeight="false" outlineLevel="0" collapsed="false">
      <c r="A103" s="26"/>
      <c r="B103" s="24"/>
      <c r="C103" s="25"/>
      <c r="D103" s="24"/>
      <c r="E103" s="17"/>
      <c r="F103" s="17"/>
      <c r="G103" s="24"/>
    </row>
    <row r="104" customFormat="false" ht="15" hidden="false" customHeight="false" outlineLevel="0" collapsed="false">
      <c r="A104" s="26"/>
      <c r="B104" s="24"/>
      <c r="C104" s="25"/>
      <c r="D104" s="24"/>
      <c r="E104" s="17"/>
      <c r="F104" s="17"/>
      <c r="G104" s="24"/>
    </row>
    <row r="105" customFormat="false" ht="15" hidden="false" customHeight="false" outlineLevel="0" collapsed="false">
      <c r="A105" s="26"/>
      <c r="B105" s="24"/>
      <c r="C105" s="25"/>
      <c r="D105" s="24"/>
      <c r="E105" s="17"/>
      <c r="F105" s="17"/>
      <c r="G105" s="24"/>
    </row>
    <row r="106" customFormat="false" ht="15" hidden="false" customHeight="false" outlineLevel="0" collapsed="false">
      <c r="A106" s="26"/>
      <c r="B106" s="24"/>
      <c r="C106" s="25"/>
      <c r="D106" s="24"/>
      <c r="E106" s="17"/>
      <c r="F106" s="17"/>
      <c r="G106" s="24"/>
    </row>
    <row r="107" customFormat="false" ht="15" hidden="false" customHeight="false" outlineLevel="0" collapsed="false">
      <c r="A107" s="26"/>
      <c r="B107" s="24"/>
      <c r="C107" s="25"/>
      <c r="D107" s="24"/>
      <c r="E107" s="17"/>
      <c r="F107" s="17"/>
      <c r="G107" s="24"/>
    </row>
    <row r="108" customFormat="false" ht="15" hidden="false" customHeight="false" outlineLevel="0" collapsed="false">
      <c r="A108" s="26"/>
      <c r="B108" s="24"/>
      <c r="C108" s="25"/>
      <c r="D108" s="24"/>
      <c r="E108" s="17"/>
      <c r="F108" s="17"/>
      <c r="G108" s="24"/>
    </row>
    <row r="109" customFormat="false" ht="15" hidden="false" customHeight="false" outlineLevel="0" collapsed="false">
      <c r="A109" s="26"/>
      <c r="B109" s="24"/>
      <c r="C109" s="25"/>
      <c r="D109" s="24"/>
      <c r="E109" s="17"/>
      <c r="F109" s="17"/>
      <c r="G109" s="24"/>
    </row>
    <row r="110" customFormat="false" ht="15" hidden="false" customHeight="false" outlineLevel="0" collapsed="false">
      <c r="A110" s="26"/>
      <c r="B110" s="24"/>
      <c r="C110" s="25"/>
      <c r="D110" s="24"/>
      <c r="E110" s="17"/>
      <c r="F110" s="17"/>
      <c r="G110" s="24"/>
    </row>
    <row r="111" customFormat="false" ht="15" hidden="false" customHeight="false" outlineLevel="0" collapsed="false">
      <c r="A111" s="26"/>
      <c r="B111" s="24"/>
      <c r="C111" s="25"/>
      <c r="D111" s="24"/>
      <c r="E111" s="17"/>
      <c r="F111" s="17"/>
      <c r="G111" s="24"/>
    </row>
    <row r="112" customFormat="false" ht="15" hidden="false" customHeight="false" outlineLevel="0" collapsed="false">
      <c r="A112" s="26"/>
      <c r="B112" s="24"/>
      <c r="C112" s="25"/>
      <c r="D112" s="24"/>
      <c r="E112" s="17"/>
      <c r="F112" s="17"/>
      <c r="G112" s="24"/>
    </row>
    <row r="113" customFormat="false" ht="15" hidden="false" customHeight="false" outlineLevel="0" collapsed="false">
      <c r="A113" s="26"/>
      <c r="B113" s="24"/>
      <c r="C113" s="25"/>
      <c r="D113" s="24"/>
      <c r="E113" s="17"/>
      <c r="F113" s="17"/>
      <c r="G113" s="24"/>
    </row>
    <row r="114" customFormat="false" ht="15" hidden="false" customHeight="false" outlineLevel="0" collapsed="false">
      <c r="A114" s="26"/>
      <c r="B114" s="24"/>
      <c r="C114" s="25"/>
      <c r="D114" s="24"/>
      <c r="E114" s="17"/>
      <c r="F114" s="17"/>
      <c r="G114" s="24"/>
    </row>
    <row r="115" customFormat="false" ht="15" hidden="false" customHeight="false" outlineLevel="0" collapsed="false">
      <c r="A115" s="26"/>
      <c r="B115" s="24"/>
      <c r="C115" s="25"/>
      <c r="D115" s="24"/>
      <c r="E115" s="17"/>
      <c r="F115" s="17"/>
      <c r="G115" s="24"/>
    </row>
    <row r="116" customFormat="false" ht="15" hidden="false" customHeight="false" outlineLevel="0" collapsed="false">
      <c r="A116" s="26"/>
      <c r="B116" s="24"/>
      <c r="C116" s="25"/>
      <c r="D116" s="24"/>
      <c r="E116" s="17"/>
      <c r="F116" s="17"/>
      <c r="G116" s="24"/>
    </row>
    <row r="117" customFormat="false" ht="15" hidden="false" customHeight="false" outlineLevel="0" collapsed="false">
      <c r="A117" s="26"/>
      <c r="B117" s="24"/>
      <c r="C117" s="25"/>
      <c r="D117" s="24"/>
      <c r="E117" s="17"/>
      <c r="F117" s="17"/>
      <c r="G117" s="24"/>
    </row>
    <row r="118" customFormat="false" ht="15" hidden="false" customHeight="false" outlineLevel="0" collapsed="false">
      <c r="A118" s="26"/>
      <c r="B118" s="24"/>
      <c r="C118" s="25"/>
      <c r="D118" s="24"/>
      <c r="E118" s="17"/>
      <c r="F118" s="17"/>
      <c r="G118" s="24"/>
    </row>
    <row r="119" customFormat="false" ht="15" hidden="false" customHeight="false" outlineLevel="0" collapsed="false">
      <c r="A119" s="26"/>
      <c r="B119" s="24"/>
      <c r="C119" s="25"/>
      <c r="D119" s="24"/>
      <c r="E119" s="17"/>
      <c r="F119" s="17"/>
      <c r="G119" s="24"/>
    </row>
    <row r="120" customFormat="false" ht="15" hidden="false" customHeight="false" outlineLevel="0" collapsed="false">
      <c r="A120" s="26"/>
      <c r="B120" s="24"/>
      <c r="C120" s="25"/>
      <c r="D120" s="24"/>
      <c r="E120" s="17"/>
      <c r="F120" s="17"/>
      <c r="G120" s="24"/>
    </row>
    <row r="121" customFormat="false" ht="15" hidden="false" customHeight="false" outlineLevel="0" collapsed="false">
      <c r="A121" s="26"/>
      <c r="B121" s="24"/>
      <c r="C121" s="25"/>
      <c r="D121" s="24"/>
      <c r="E121" s="17"/>
      <c r="F121" s="17"/>
      <c r="G121" s="24"/>
    </row>
    <row r="122" customFormat="false" ht="15" hidden="false" customHeight="false" outlineLevel="0" collapsed="false">
      <c r="A122" s="26"/>
      <c r="B122" s="24"/>
      <c r="C122" s="25"/>
      <c r="D122" s="24"/>
      <c r="E122" s="17"/>
      <c r="F122" s="17"/>
      <c r="G122" s="24"/>
    </row>
    <row r="123" customFormat="false" ht="15" hidden="false" customHeight="false" outlineLevel="0" collapsed="false">
      <c r="A123" s="26"/>
      <c r="B123" s="24"/>
      <c r="C123" s="25"/>
      <c r="D123" s="24"/>
      <c r="E123" s="17"/>
      <c r="F123" s="17"/>
      <c r="G123" s="24"/>
    </row>
    <row r="124" customFormat="false" ht="15" hidden="false" customHeight="false" outlineLevel="0" collapsed="false">
      <c r="A124" s="26"/>
      <c r="B124" s="24"/>
      <c r="C124" s="25"/>
      <c r="D124" s="24"/>
      <c r="E124" s="17"/>
      <c r="F124" s="17"/>
      <c r="G124" s="24"/>
    </row>
    <row r="125" customFormat="false" ht="15" hidden="false" customHeight="false" outlineLevel="0" collapsed="false">
      <c r="A125" s="26"/>
      <c r="B125" s="24"/>
      <c r="C125" s="25"/>
      <c r="D125" s="24"/>
      <c r="E125" s="17"/>
      <c r="F125" s="17"/>
      <c r="G125" s="24"/>
    </row>
    <row r="126" customFormat="false" ht="15" hidden="false" customHeight="false" outlineLevel="0" collapsed="false">
      <c r="A126" s="26"/>
      <c r="B126" s="24"/>
      <c r="C126" s="25"/>
      <c r="D126" s="24"/>
      <c r="E126" s="17"/>
      <c r="F126" s="17"/>
      <c r="G126" s="24"/>
    </row>
    <row r="127" customFormat="false" ht="15" hidden="false" customHeight="false" outlineLevel="0" collapsed="false">
      <c r="A127" s="26"/>
      <c r="B127" s="24"/>
      <c r="C127" s="25"/>
      <c r="D127" s="24"/>
      <c r="E127" s="17"/>
      <c r="F127" s="17"/>
      <c r="G127" s="24"/>
    </row>
    <row r="128" customFormat="false" ht="15" hidden="false" customHeight="false" outlineLevel="0" collapsed="false">
      <c r="A128" s="26"/>
      <c r="B128" s="24"/>
      <c r="C128" s="25"/>
      <c r="D128" s="24"/>
      <c r="E128" s="17"/>
      <c r="F128" s="17"/>
      <c r="G128" s="24"/>
    </row>
    <row r="129" customFormat="false" ht="15" hidden="false" customHeight="false" outlineLevel="0" collapsed="false">
      <c r="A129" s="26"/>
      <c r="B129" s="24"/>
      <c r="C129" s="25"/>
      <c r="D129" s="24"/>
      <c r="E129" s="17"/>
      <c r="F129" s="17"/>
      <c r="G129" s="24"/>
    </row>
    <row r="130" customFormat="false" ht="15" hidden="false" customHeight="false" outlineLevel="0" collapsed="false">
      <c r="A130" s="26"/>
      <c r="B130" s="24"/>
      <c r="C130" s="25"/>
      <c r="D130" s="24"/>
      <c r="E130" s="17"/>
      <c r="F130" s="17"/>
      <c r="G130" s="24"/>
    </row>
    <row r="131" customFormat="false" ht="15" hidden="false" customHeight="false" outlineLevel="0" collapsed="false">
      <c r="A131" s="26"/>
      <c r="B131" s="24"/>
      <c r="C131" s="25"/>
      <c r="D131" s="24"/>
      <c r="E131" s="17"/>
      <c r="F131" s="17"/>
      <c r="G131" s="24"/>
    </row>
    <row r="132" customFormat="false" ht="15" hidden="false" customHeight="false" outlineLevel="0" collapsed="false">
      <c r="A132" s="26"/>
      <c r="B132" s="24"/>
      <c r="C132" s="25"/>
      <c r="D132" s="24"/>
      <c r="E132" s="17"/>
      <c r="F132" s="17"/>
      <c r="G132" s="24"/>
    </row>
    <row r="133" customFormat="false" ht="15" hidden="false" customHeight="false" outlineLevel="0" collapsed="false">
      <c r="A133" s="26"/>
      <c r="B133" s="24"/>
      <c r="C133" s="25"/>
      <c r="D133" s="24"/>
      <c r="E133" s="17"/>
      <c r="F133" s="17"/>
      <c r="G133" s="24"/>
    </row>
    <row r="134" customFormat="false" ht="15" hidden="false" customHeight="false" outlineLevel="0" collapsed="false">
      <c r="A134" s="26"/>
      <c r="B134" s="24"/>
      <c r="C134" s="25"/>
      <c r="D134" s="24"/>
      <c r="E134" s="17"/>
      <c r="F134" s="17"/>
      <c r="G134" s="24"/>
    </row>
    <row r="135" customFormat="false" ht="15" hidden="false" customHeight="false" outlineLevel="0" collapsed="false">
      <c r="A135" s="26"/>
      <c r="B135" s="24"/>
      <c r="C135" s="25"/>
      <c r="D135" s="24"/>
      <c r="E135" s="17"/>
      <c r="F135" s="17"/>
      <c r="G135" s="24"/>
    </row>
    <row r="136" customFormat="false" ht="15" hidden="false" customHeight="false" outlineLevel="0" collapsed="false">
      <c r="A136" s="26"/>
      <c r="B136" s="24"/>
      <c r="C136" s="25"/>
      <c r="D136" s="24"/>
      <c r="E136" s="17"/>
      <c r="F136" s="17"/>
      <c r="G136" s="24"/>
    </row>
    <row r="137" customFormat="false" ht="15" hidden="false" customHeight="false" outlineLevel="0" collapsed="false">
      <c r="A137" s="26"/>
      <c r="B137" s="24"/>
      <c r="C137" s="25"/>
      <c r="D137" s="24"/>
      <c r="E137" s="17"/>
      <c r="F137" s="17"/>
      <c r="G137" s="24"/>
    </row>
    <row r="138" customFormat="false" ht="15" hidden="false" customHeight="false" outlineLevel="0" collapsed="false">
      <c r="A138" s="26"/>
      <c r="B138" s="24"/>
      <c r="C138" s="25"/>
      <c r="D138" s="24"/>
      <c r="E138" s="17"/>
      <c r="F138" s="17"/>
      <c r="G138" s="24"/>
    </row>
    <row r="139" customFormat="false" ht="15" hidden="false" customHeight="false" outlineLevel="0" collapsed="false">
      <c r="A139" s="26"/>
      <c r="B139" s="24"/>
      <c r="C139" s="25"/>
      <c r="D139" s="24"/>
      <c r="E139" s="17"/>
      <c r="F139" s="17"/>
      <c r="G139" s="24"/>
    </row>
    <row r="140" customFormat="false" ht="15" hidden="false" customHeight="false" outlineLevel="0" collapsed="false">
      <c r="A140" s="26"/>
      <c r="B140" s="24"/>
      <c r="C140" s="25"/>
      <c r="D140" s="24"/>
      <c r="E140" s="17"/>
      <c r="F140" s="17"/>
      <c r="G140" s="24"/>
    </row>
    <row r="141" customFormat="false" ht="15" hidden="false" customHeight="false" outlineLevel="0" collapsed="false">
      <c r="A141" s="26"/>
      <c r="B141" s="24"/>
      <c r="C141" s="25"/>
      <c r="D141" s="24"/>
      <c r="E141" s="17"/>
      <c r="F141" s="17"/>
      <c r="G141" s="24"/>
    </row>
    <row r="142" customFormat="false" ht="15" hidden="false" customHeight="false" outlineLevel="0" collapsed="false">
      <c r="A142" s="26"/>
      <c r="B142" s="24"/>
      <c r="C142" s="25"/>
      <c r="D142" s="24"/>
      <c r="E142" s="17"/>
      <c r="F142" s="17"/>
      <c r="G142" s="24"/>
    </row>
    <row r="143" customFormat="false" ht="15" hidden="false" customHeight="false" outlineLevel="0" collapsed="false">
      <c r="A143" s="26"/>
      <c r="B143" s="24"/>
      <c r="C143" s="25"/>
      <c r="D143" s="24"/>
      <c r="E143" s="17"/>
      <c r="F143" s="17"/>
      <c r="G143" s="24"/>
    </row>
    <row r="144" customFormat="false" ht="15" hidden="false" customHeight="false" outlineLevel="0" collapsed="false">
      <c r="A144" s="26"/>
      <c r="B144" s="24"/>
      <c r="C144" s="25"/>
      <c r="D144" s="24"/>
      <c r="E144" s="17"/>
      <c r="F144" s="17"/>
      <c r="G144" s="24"/>
    </row>
    <row r="145" customFormat="false" ht="15" hidden="false" customHeight="false" outlineLevel="0" collapsed="false">
      <c r="A145" s="26"/>
      <c r="B145" s="24"/>
      <c r="C145" s="25"/>
      <c r="D145" s="24"/>
      <c r="E145" s="17"/>
      <c r="F145" s="17"/>
      <c r="G145" s="24"/>
    </row>
    <row r="146" customFormat="false" ht="15" hidden="false" customHeight="false" outlineLevel="0" collapsed="false">
      <c r="A146" s="26"/>
      <c r="B146" s="24"/>
      <c r="C146" s="25"/>
      <c r="D146" s="24"/>
      <c r="E146" s="17"/>
      <c r="F146" s="17"/>
      <c r="G146" s="24"/>
    </row>
    <row r="147" customFormat="false" ht="15" hidden="false" customHeight="false" outlineLevel="0" collapsed="false">
      <c r="A147" s="26"/>
      <c r="B147" s="24"/>
      <c r="C147" s="25"/>
      <c r="D147" s="24"/>
      <c r="E147" s="17"/>
      <c r="F147" s="17"/>
      <c r="G147" s="24"/>
    </row>
    <row r="148" customFormat="false" ht="15" hidden="false" customHeight="false" outlineLevel="0" collapsed="false">
      <c r="A148" s="26"/>
      <c r="B148" s="24"/>
      <c r="C148" s="25"/>
      <c r="D148" s="24"/>
      <c r="E148" s="17"/>
      <c r="F148" s="17"/>
      <c r="G148" s="24"/>
    </row>
    <row r="149" customFormat="false" ht="15" hidden="false" customHeight="false" outlineLevel="0" collapsed="false">
      <c r="A149" s="26"/>
      <c r="B149" s="24"/>
      <c r="C149" s="25"/>
      <c r="D149" s="24"/>
      <c r="E149" s="17"/>
      <c r="F149" s="17"/>
      <c r="G149" s="24"/>
    </row>
    <row r="150" customFormat="false" ht="15" hidden="false" customHeight="false" outlineLevel="0" collapsed="false">
      <c r="A150" s="26"/>
      <c r="B150" s="24"/>
      <c r="C150" s="25"/>
      <c r="D150" s="24"/>
      <c r="E150" s="17"/>
      <c r="F150" s="17"/>
      <c r="G150" s="24"/>
    </row>
    <row r="151" customFormat="false" ht="15" hidden="false" customHeight="false" outlineLevel="0" collapsed="false">
      <c r="A151" s="26"/>
      <c r="B151" s="24"/>
      <c r="C151" s="25"/>
      <c r="D151" s="24"/>
      <c r="E151" s="17"/>
      <c r="F151" s="17"/>
      <c r="G151" s="24"/>
    </row>
    <row r="152" customFormat="false" ht="15" hidden="false" customHeight="false" outlineLevel="0" collapsed="false">
      <c r="A152" s="26"/>
      <c r="B152" s="24"/>
      <c r="C152" s="25"/>
      <c r="D152" s="24"/>
      <c r="E152" s="17"/>
      <c r="F152" s="17"/>
      <c r="G152" s="24"/>
    </row>
    <row r="153" customFormat="false" ht="15" hidden="false" customHeight="false" outlineLevel="0" collapsed="false">
      <c r="A153" s="26"/>
      <c r="B153" s="24"/>
      <c r="C153" s="25"/>
      <c r="D153" s="24"/>
      <c r="E153" s="17"/>
      <c r="F153" s="17"/>
      <c r="G153" s="24"/>
    </row>
    <row r="154" customFormat="false" ht="15" hidden="false" customHeight="false" outlineLevel="0" collapsed="false">
      <c r="A154" s="26"/>
      <c r="B154" s="24"/>
      <c r="C154" s="25"/>
      <c r="D154" s="24"/>
      <c r="E154" s="17"/>
      <c r="F154" s="17"/>
      <c r="G154" s="24"/>
    </row>
    <row r="155" customFormat="false" ht="15" hidden="false" customHeight="false" outlineLevel="0" collapsed="false">
      <c r="A155" s="26"/>
      <c r="B155" s="24"/>
      <c r="C155" s="25"/>
      <c r="D155" s="24"/>
      <c r="E155" s="17"/>
      <c r="F155" s="17"/>
      <c r="G155" s="24"/>
    </row>
    <row r="156" customFormat="false" ht="15" hidden="false" customHeight="false" outlineLevel="0" collapsed="false">
      <c r="A156" s="26"/>
      <c r="B156" s="24"/>
      <c r="C156" s="25"/>
      <c r="D156" s="24"/>
      <c r="E156" s="17"/>
      <c r="F156" s="17"/>
      <c r="G156" s="24"/>
    </row>
    <row r="157" customFormat="false" ht="15" hidden="false" customHeight="false" outlineLevel="0" collapsed="false">
      <c r="A157" s="26"/>
      <c r="B157" s="24"/>
      <c r="C157" s="25"/>
      <c r="D157" s="24"/>
      <c r="E157" s="17"/>
      <c r="F157" s="17"/>
      <c r="G157" s="24"/>
    </row>
    <row r="158" customFormat="false" ht="15" hidden="false" customHeight="false" outlineLevel="0" collapsed="false">
      <c r="A158" s="26"/>
      <c r="B158" s="24"/>
      <c r="C158" s="25"/>
      <c r="D158" s="24"/>
      <c r="E158" s="17"/>
      <c r="F158" s="17"/>
      <c r="G158" s="24"/>
    </row>
    <row r="159" customFormat="false" ht="15" hidden="false" customHeight="false" outlineLevel="0" collapsed="false">
      <c r="A159" s="26"/>
      <c r="B159" s="24"/>
      <c r="C159" s="25"/>
      <c r="D159" s="24"/>
      <c r="E159" s="17"/>
      <c r="F159" s="17"/>
      <c r="G159" s="24"/>
    </row>
    <row r="160" customFormat="false" ht="15" hidden="false" customHeight="false" outlineLevel="0" collapsed="false">
      <c r="A160" s="26"/>
      <c r="B160" s="24"/>
      <c r="C160" s="25"/>
      <c r="D160" s="24"/>
      <c r="E160" s="17"/>
      <c r="F160" s="17"/>
      <c r="G160" s="24"/>
    </row>
    <row r="161" customFormat="false" ht="15" hidden="false" customHeight="false" outlineLevel="0" collapsed="false">
      <c r="A161" s="26"/>
      <c r="B161" s="24"/>
      <c r="C161" s="25"/>
      <c r="D161" s="24"/>
      <c r="E161" s="17"/>
      <c r="F161" s="17"/>
      <c r="G161" s="24"/>
    </row>
    <row r="162" customFormat="false" ht="15" hidden="false" customHeight="false" outlineLevel="0" collapsed="false">
      <c r="A162" s="26"/>
      <c r="B162" s="24"/>
      <c r="C162" s="25"/>
      <c r="D162" s="24"/>
      <c r="E162" s="17"/>
      <c r="F162" s="17"/>
      <c r="G162" s="24"/>
    </row>
    <row r="163" customFormat="false" ht="15" hidden="false" customHeight="false" outlineLevel="0" collapsed="false">
      <c r="A163" s="26"/>
      <c r="B163" s="24"/>
      <c r="C163" s="25"/>
      <c r="D163" s="24"/>
      <c r="E163" s="17"/>
      <c r="F163" s="17"/>
      <c r="G163" s="24"/>
    </row>
    <row r="164" customFormat="false" ht="15" hidden="false" customHeight="false" outlineLevel="0" collapsed="false">
      <c r="A164" s="26"/>
      <c r="B164" s="24"/>
      <c r="C164" s="25"/>
      <c r="D164" s="24"/>
      <c r="E164" s="17"/>
      <c r="F164" s="17"/>
      <c r="G164" s="24"/>
    </row>
    <row r="165" customFormat="false" ht="15" hidden="false" customHeight="false" outlineLevel="0" collapsed="false">
      <c r="A165" s="26"/>
      <c r="B165" s="24"/>
      <c r="C165" s="25"/>
      <c r="D165" s="24"/>
      <c r="E165" s="17"/>
      <c r="F165" s="17"/>
      <c r="G165" s="24"/>
    </row>
    <row r="166" customFormat="false" ht="15" hidden="false" customHeight="false" outlineLevel="0" collapsed="false">
      <c r="A166" s="26"/>
      <c r="B166" s="24"/>
      <c r="C166" s="25"/>
      <c r="D166" s="24"/>
      <c r="E166" s="17"/>
      <c r="F166" s="17"/>
      <c r="G166" s="24"/>
    </row>
    <row r="167" customFormat="false" ht="15" hidden="false" customHeight="false" outlineLevel="0" collapsed="false">
      <c r="A167" s="26"/>
      <c r="B167" s="24"/>
      <c r="C167" s="25"/>
      <c r="D167" s="24"/>
      <c r="E167" s="17"/>
      <c r="F167" s="17"/>
      <c r="G167" s="24"/>
    </row>
    <row r="168" customFormat="false" ht="15" hidden="false" customHeight="false" outlineLevel="0" collapsed="false">
      <c r="A168" s="26"/>
      <c r="B168" s="24"/>
      <c r="C168" s="25"/>
      <c r="D168" s="24"/>
      <c r="E168" s="17"/>
      <c r="F168" s="17"/>
      <c r="G168" s="24"/>
    </row>
    <row r="169" customFormat="false" ht="15" hidden="false" customHeight="false" outlineLevel="0" collapsed="false">
      <c r="A169" s="26"/>
      <c r="B169" s="24"/>
      <c r="C169" s="25"/>
      <c r="D169" s="24"/>
      <c r="E169" s="17"/>
      <c r="F169" s="17"/>
      <c r="G169" s="24"/>
    </row>
    <row r="170" customFormat="false" ht="15" hidden="false" customHeight="false" outlineLevel="0" collapsed="false">
      <c r="A170" s="26"/>
      <c r="B170" s="24"/>
      <c r="C170" s="25"/>
      <c r="D170" s="24"/>
      <c r="E170" s="17"/>
      <c r="F170" s="17"/>
      <c r="G170" s="24"/>
    </row>
    <row r="171" customFormat="false" ht="15" hidden="false" customHeight="false" outlineLevel="0" collapsed="false">
      <c r="A171" s="26"/>
      <c r="B171" s="24"/>
      <c r="C171" s="25"/>
      <c r="D171" s="24"/>
      <c r="E171" s="17"/>
      <c r="F171" s="17"/>
      <c r="G171" s="24"/>
    </row>
    <row r="172" customFormat="false" ht="15" hidden="false" customHeight="false" outlineLevel="0" collapsed="false">
      <c r="A172" s="26"/>
      <c r="B172" s="24"/>
      <c r="C172" s="25"/>
      <c r="D172" s="24"/>
      <c r="E172" s="17"/>
      <c r="F172" s="17"/>
      <c r="G172" s="24"/>
    </row>
    <row r="173" customFormat="false" ht="15" hidden="false" customHeight="false" outlineLevel="0" collapsed="false">
      <c r="A173" s="26"/>
      <c r="B173" s="24"/>
      <c r="C173" s="25"/>
      <c r="D173" s="24"/>
      <c r="E173" s="17"/>
      <c r="F173" s="17"/>
      <c r="G173" s="24"/>
    </row>
    <row r="174" customFormat="false" ht="15" hidden="false" customHeight="false" outlineLevel="0" collapsed="false">
      <c r="A174" s="26"/>
      <c r="B174" s="24"/>
      <c r="C174" s="25"/>
      <c r="D174" s="24"/>
      <c r="E174" s="17"/>
      <c r="F174" s="17"/>
      <c r="G174" s="24"/>
    </row>
    <row r="175" customFormat="false" ht="15" hidden="false" customHeight="false" outlineLevel="0" collapsed="false">
      <c r="A175" s="26"/>
      <c r="B175" s="24"/>
      <c r="C175" s="25"/>
      <c r="D175" s="24"/>
      <c r="E175" s="17"/>
      <c r="F175" s="17"/>
      <c r="G175" s="24"/>
    </row>
    <row r="176" customFormat="false" ht="15" hidden="false" customHeight="false" outlineLevel="0" collapsed="false">
      <c r="A176" s="26"/>
      <c r="B176" s="24"/>
      <c r="C176" s="25"/>
      <c r="D176" s="24"/>
      <c r="E176" s="17"/>
      <c r="F176" s="17"/>
      <c r="G176" s="24"/>
    </row>
    <row r="177" customFormat="false" ht="15" hidden="false" customHeight="false" outlineLevel="0" collapsed="false">
      <c r="A177" s="26"/>
      <c r="B177" s="24"/>
      <c r="C177" s="25"/>
      <c r="D177" s="24"/>
      <c r="E177" s="17"/>
      <c r="F177" s="17"/>
      <c r="G177" s="24"/>
    </row>
    <row r="178" customFormat="false" ht="15" hidden="false" customHeight="false" outlineLevel="0" collapsed="false">
      <c r="A178" s="26"/>
      <c r="B178" s="24"/>
      <c r="C178" s="25"/>
      <c r="D178" s="24"/>
      <c r="E178" s="17"/>
      <c r="F178" s="17"/>
      <c r="G178" s="24"/>
    </row>
    <row r="179" customFormat="false" ht="15" hidden="false" customHeight="false" outlineLevel="0" collapsed="false">
      <c r="A179" s="26"/>
      <c r="B179" s="24"/>
      <c r="C179" s="25"/>
      <c r="D179" s="24"/>
      <c r="E179" s="17"/>
      <c r="F179" s="17"/>
      <c r="G179" s="24"/>
    </row>
    <row r="180" customFormat="false" ht="15" hidden="false" customHeight="false" outlineLevel="0" collapsed="false">
      <c r="A180" s="26"/>
      <c r="B180" s="24"/>
      <c r="C180" s="25"/>
      <c r="D180" s="24"/>
      <c r="E180" s="17"/>
      <c r="F180" s="17"/>
      <c r="G180" s="24"/>
    </row>
    <row r="181" customFormat="false" ht="15" hidden="false" customHeight="false" outlineLevel="0" collapsed="false">
      <c r="A181" s="26"/>
      <c r="B181" s="24"/>
      <c r="C181" s="25"/>
      <c r="D181" s="24"/>
      <c r="E181" s="17"/>
      <c r="F181" s="17"/>
      <c r="G181" s="24"/>
    </row>
    <row r="182" customFormat="false" ht="15" hidden="false" customHeight="false" outlineLevel="0" collapsed="false">
      <c r="A182" s="26"/>
      <c r="B182" s="24"/>
      <c r="C182" s="25"/>
      <c r="D182" s="24"/>
      <c r="E182" s="17"/>
      <c r="F182" s="17"/>
      <c r="G182" s="24"/>
    </row>
    <row r="183" customFormat="false" ht="15" hidden="false" customHeight="false" outlineLevel="0" collapsed="false">
      <c r="A183" s="26"/>
      <c r="B183" s="24"/>
      <c r="C183" s="25"/>
      <c r="D183" s="24"/>
      <c r="E183" s="17"/>
      <c r="F183" s="17"/>
      <c r="G183" s="24"/>
    </row>
    <row r="184" customFormat="false" ht="15" hidden="false" customHeight="false" outlineLevel="0" collapsed="false">
      <c r="A184" s="26"/>
      <c r="B184" s="24"/>
      <c r="C184" s="25"/>
      <c r="D184" s="24"/>
      <c r="E184" s="17"/>
      <c r="F184" s="17"/>
      <c r="G184" s="24"/>
    </row>
    <row r="185" customFormat="false" ht="15" hidden="false" customHeight="false" outlineLevel="0" collapsed="false">
      <c r="A185" s="26"/>
      <c r="B185" s="24"/>
      <c r="C185" s="25"/>
      <c r="D185" s="24"/>
      <c r="E185" s="17"/>
      <c r="F185" s="17"/>
      <c r="G185" s="24"/>
    </row>
    <row r="186" customFormat="false" ht="15" hidden="false" customHeight="false" outlineLevel="0" collapsed="false">
      <c r="A186" s="26"/>
      <c r="B186" s="24"/>
      <c r="C186" s="25"/>
      <c r="D186" s="24"/>
      <c r="E186" s="17"/>
      <c r="F186" s="17"/>
      <c r="G186" s="24"/>
    </row>
    <row r="187" customFormat="false" ht="15" hidden="false" customHeight="false" outlineLevel="0" collapsed="false">
      <c r="A187" s="26"/>
      <c r="B187" s="24"/>
      <c r="C187" s="25"/>
      <c r="D187" s="24"/>
      <c r="E187" s="17"/>
      <c r="F187" s="17"/>
      <c r="G187" s="24"/>
    </row>
    <row r="188" customFormat="false" ht="15" hidden="false" customHeight="false" outlineLevel="0" collapsed="false">
      <c r="A188" s="26"/>
      <c r="B188" s="24"/>
      <c r="C188" s="25"/>
      <c r="D188" s="24"/>
      <c r="E188" s="17"/>
      <c r="F188" s="17"/>
      <c r="G188" s="24"/>
    </row>
    <row r="189" customFormat="false" ht="15" hidden="false" customHeight="false" outlineLevel="0" collapsed="false">
      <c r="A189" s="26"/>
      <c r="B189" s="24"/>
      <c r="C189" s="25"/>
      <c r="D189" s="24"/>
      <c r="E189" s="17"/>
      <c r="F189" s="17"/>
      <c r="G189" s="24"/>
    </row>
    <row r="190" customFormat="false" ht="15" hidden="false" customHeight="false" outlineLevel="0" collapsed="false">
      <c r="A190" s="26"/>
      <c r="B190" s="24"/>
      <c r="C190" s="25"/>
      <c r="D190" s="24"/>
      <c r="E190" s="17"/>
      <c r="F190" s="17"/>
      <c r="G190" s="24"/>
    </row>
    <row r="191" customFormat="false" ht="15" hidden="false" customHeight="false" outlineLevel="0" collapsed="false">
      <c r="A191" s="26"/>
      <c r="B191" s="24"/>
      <c r="C191" s="25"/>
      <c r="D191" s="24"/>
      <c r="E191" s="17"/>
      <c r="F191" s="17"/>
      <c r="G191" s="24"/>
    </row>
    <row r="192" customFormat="false" ht="15" hidden="false" customHeight="false" outlineLevel="0" collapsed="false">
      <c r="A192" s="26"/>
      <c r="B192" s="24"/>
      <c r="C192" s="25"/>
      <c r="D192" s="24"/>
      <c r="E192" s="17"/>
      <c r="F192" s="17"/>
      <c r="G192" s="24"/>
    </row>
    <row r="193" customFormat="false" ht="15" hidden="false" customHeight="false" outlineLevel="0" collapsed="false">
      <c r="A193" s="26"/>
      <c r="B193" s="24"/>
      <c r="C193" s="25"/>
      <c r="D193" s="24"/>
      <c r="E193" s="17"/>
      <c r="F193" s="17"/>
      <c r="G193" s="24"/>
    </row>
    <row r="194" customFormat="false" ht="15" hidden="false" customHeight="false" outlineLevel="0" collapsed="false">
      <c r="A194" s="26"/>
      <c r="B194" s="24"/>
      <c r="C194" s="25"/>
      <c r="D194" s="24"/>
      <c r="E194" s="17"/>
      <c r="F194" s="17"/>
      <c r="G194" s="24"/>
    </row>
    <row r="195" customFormat="false" ht="15" hidden="false" customHeight="false" outlineLevel="0" collapsed="false">
      <c r="A195" s="26"/>
      <c r="B195" s="24"/>
      <c r="C195" s="25"/>
      <c r="D195" s="24"/>
      <c r="E195" s="17"/>
      <c r="F195" s="17"/>
      <c r="G195" s="24"/>
    </row>
    <row r="196" customFormat="false" ht="15" hidden="false" customHeight="false" outlineLevel="0" collapsed="false">
      <c r="A196" s="26"/>
      <c r="B196" s="24"/>
      <c r="C196" s="25"/>
      <c r="D196" s="24"/>
      <c r="E196" s="17"/>
      <c r="F196" s="17"/>
      <c r="G196" s="24"/>
    </row>
    <row r="197" customFormat="false" ht="15" hidden="false" customHeight="false" outlineLevel="0" collapsed="false">
      <c r="A197" s="26"/>
      <c r="B197" s="24"/>
      <c r="C197" s="25"/>
      <c r="D197" s="24"/>
      <c r="E197" s="17"/>
      <c r="F197" s="17"/>
      <c r="G197" s="24"/>
    </row>
    <row r="198" customFormat="false" ht="15" hidden="false" customHeight="false" outlineLevel="0" collapsed="false">
      <c r="A198" s="26"/>
      <c r="B198" s="24"/>
      <c r="C198" s="25"/>
      <c r="D198" s="24"/>
      <c r="E198" s="17"/>
      <c r="F198" s="17"/>
      <c r="G198" s="24"/>
    </row>
    <row r="199" customFormat="false" ht="15" hidden="false" customHeight="false" outlineLevel="0" collapsed="false">
      <c r="A199" s="26"/>
      <c r="B199" s="24"/>
      <c r="C199" s="25"/>
      <c r="D199" s="24"/>
      <c r="E199" s="17"/>
      <c r="F199" s="17"/>
      <c r="G199" s="24"/>
    </row>
    <row r="200" customFormat="false" ht="15" hidden="false" customHeight="false" outlineLevel="0" collapsed="false">
      <c r="A200" s="26"/>
      <c r="B200" s="24"/>
      <c r="C200" s="25"/>
      <c r="D200" s="24"/>
      <c r="E200" s="17"/>
      <c r="F200" s="17"/>
      <c r="G200" s="24"/>
    </row>
    <row r="201" customFormat="false" ht="15" hidden="false" customHeight="false" outlineLevel="0" collapsed="false">
      <c r="A201" s="26"/>
      <c r="B201" s="24"/>
      <c r="C201" s="25"/>
      <c r="D201" s="24"/>
      <c r="E201" s="17"/>
      <c r="F201" s="17"/>
      <c r="G201" s="24"/>
    </row>
    <row r="202" customFormat="false" ht="15" hidden="false" customHeight="false" outlineLevel="0" collapsed="false">
      <c r="A202" s="26"/>
      <c r="B202" s="24"/>
      <c r="C202" s="25"/>
      <c r="D202" s="24"/>
      <c r="E202" s="17"/>
      <c r="F202" s="17"/>
      <c r="G202" s="24"/>
    </row>
    <row r="203" customFormat="false" ht="15" hidden="false" customHeight="false" outlineLevel="0" collapsed="false">
      <c r="A203" s="26"/>
      <c r="B203" s="24"/>
      <c r="C203" s="25"/>
      <c r="D203" s="24"/>
      <c r="E203" s="17"/>
      <c r="F203" s="17"/>
      <c r="G203" s="24"/>
    </row>
    <row r="204" customFormat="false" ht="15" hidden="false" customHeight="false" outlineLevel="0" collapsed="false">
      <c r="A204" s="26"/>
      <c r="B204" s="24"/>
      <c r="C204" s="25"/>
      <c r="D204" s="24"/>
      <c r="E204" s="17"/>
      <c r="F204" s="17"/>
      <c r="G204" s="24"/>
    </row>
    <row r="205" customFormat="false" ht="15" hidden="false" customHeight="false" outlineLevel="0" collapsed="false">
      <c r="A205" s="26"/>
      <c r="B205" s="24"/>
      <c r="C205" s="25"/>
      <c r="D205" s="24"/>
      <c r="E205" s="17"/>
      <c r="F205" s="17"/>
      <c r="G205" s="24"/>
    </row>
  </sheetData>
  <dataValidations count="4">
    <dataValidation allowBlank="true" error="Informe uma data válida (dd/mm/aaaa)." errorStyle="stop" errorTitle="Data inválida" operator="between" showDropDown="false" showErrorMessage="true" showInputMessage="false" sqref="A6:A205" type="date">
      <formula1>DATE(1990,1,1)</formula1>
      <formula2>DATE(2100,12,31)</formula2>
    </dataValidation>
    <dataValidation allowBlank="true" error="Digite só números: CPF (11 dígitos) ou CNPJ (14 dígitos)." errorStyle="stop" errorTitle="CPF/CNPJ" operator="between" prompt="Somente números (11 ou 14 dígitos)." promptTitle="CPF/CNPJ" showDropDown="false" showErrorMessage="true" showInputMessage="true" sqref="C6:C205" type="custom">
      <formula1>OR(LEN(C6)=11,LEN(C6)=14)</formula1>
      <formula2>0</formula2>
    </dataValidation>
    <dataValidation allowBlank="true" error="Escolha uma opção da lista." errorStyle="stop" errorTitle="Valor inválido" operator="between" prompt="Classifique o rendimento." promptTitle="Dica" showDropDown="false" showErrorMessage="true" showInputMessage="true" sqref="D6:D205" type="list">
      <formula1>Listas!$A$6:$A$9</formula1>
      <formula2>0</formula2>
    </dataValidation>
    <dataValidation allowBlank="true" error="Informe um valor numérico maior ou igual a zero." errorStyle="stop" errorTitle="Valor inválido" operator="greaterThanOrEqual" showDropDown="false" showErrorMessage="true" showInputMessage="false" sqref="E6:F2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34</v>
      </c>
    </row>
    <row r="3" customFormat="false" ht="15" hidden="false" customHeight="false" outlineLevel="0" collapsed="false">
      <c r="A3" s="11" t="s">
        <v>91</v>
      </c>
    </row>
    <row r="5" customFormat="false" ht="30" hidden="false" customHeight="true" outlineLevel="0" collapsed="false">
      <c r="A5" s="23" t="s">
        <v>81</v>
      </c>
      <c r="B5" s="23" t="s">
        <v>92</v>
      </c>
      <c r="C5" s="23" t="s">
        <v>93</v>
      </c>
      <c r="D5" s="23" t="s">
        <v>94</v>
      </c>
      <c r="E5" s="23" t="s">
        <v>95</v>
      </c>
      <c r="F5" s="23" t="s">
        <v>96</v>
      </c>
      <c r="G5" s="23" t="s">
        <v>87</v>
      </c>
    </row>
    <row r="6" customFormat="false" ht="15" hidden="false" customHeight="false" outlineLevel="0" collapsed="false">
      <c r="A6" s="26" t="n">
        <v>46093</v>
      </c>
      <c r="B6" s="24" t="s">
        <v>35</v>
      </c>
      <c r="C6" s="24" t="s">
        <v>97</v>
      </c>
      <c r="D6" s="25" t="s">
        <v>98</v>
      </c>
      <c r="E6" s="17" t="n">
        <v>350</v>
      </c>
      <c r="F6" s="24" t="s">
        <v>99</v>
      </c>
      <c r="G6" s="24" t="s">
        <v>90</v>
      </c>
    </row>
    <row r="7" customFormat="false" ht="15" hidden="false" customHeight="false" outlineLevel="0" collapsed="false">
      <c r="A7" s="26"/>
      <c r="B7" s="24"/>
      <c r="C7" s="24"/>
      <c r="D7" s="25"/>
      <c r="E7" s="17"/>
      <c r="F7" s="24"/>
      <c r="G7" s="24"/>
    </row>
    <row r="8" customFormat="false" ht="15" hidden="false" customHeight="false" outlineLevel="0" collapsed="false">
      <c r="A8" s="26"/>
      <c r="B8" s="24"/>
      <c r="C8" s="24"/>
      <c r="D8" s="25"/>
      <c r="E8" s="17"/>
      <c r="F8" s="24"/>
      <c r="G8" s="24"/>
    </row>
    <row r="9" customFormat="false" ht="15" hidden="false" customHeight="false" outlineLevel="0" collapsed="false">
      <c r="A9" s="26"/>
      <c r="B9" s="24"/>
      <c r="C9" s="24"/>
      <c r="D9" s="25"/>
      <c r="E9" s="17"/>
      <c r="F9" s="24"/>
      <c r="G9" s="24"/>
    </row>
    <row r="10" customFormat="false" ht="15" hidden="false" customHeight="false" outlineLevel="0" collapsed="false">
      <c r="A10" s="26"/>
      <c r="B10" s="24"/>
      <c r="C10" s="24"/>
      <c r="D10" s="25"/>
      <c r="E10" s="17"/>
      <c r="F10" s="24"/>
      <c r="G10" s="24"/>
    </row>
    <row r="11" customFormat="false" ht="15" hidden="false" customHeight="false" outlineLevel="0" collapsed="false">
      <c r="A11" s="26"/>
      <c r="B11" s="24"/>
      <c r="C11" s="24"/>
      <c r="D11" s="25"/>
      <c r="E11" s="17"/>
      <c r="F11" s="24"/>
      <c r="G11" s="24"/>
    </row>
    <row r="12" customFormat="false" ht="15" hidden="false" customHeight="false" outlineLevel="0" collapsed="false">
      <c r="A12" s="26"/>
      <c r="B12" s="24"/>
      <c r="C12" s="24"/>
      <c r="D12" s="25"/>
      <c r="E12" s="17"/>
      <c r="F12" s="24"/>
      <c r="G12" s="24"/>
    </row>
    <row r="13" customFormat="false" ht="15" hidden="false" customHeight="false" outlineLevel="0" collapsed="false">
      <c r="A13" s="26"/>
      <c r="B13" s="24"/>
      <c r="C13" s="24"/>
      <c r="D13" s="25"/>
      <c r="E13" s="17"/>
      <c r="F13" s="24"/>
      <c r="G13" s="24"/>
    </row>
    <row r="14" customFormat="false" ht="15" hidden="false" customHeight="false" outlineLevel="0" collapsed="false">
      <c r="A14" s="26"/>
      <c r="B14" s="24"/>
      <c r="C14" s="24"/>
      <c r="D14" s="25"/>
      <c r="E14" s="17"/>
      <c r="F14" s="24"/>
      <c r="G14" s="24"/>
    </row>
    <row r="15" customFormat="false" ht="15" hidden="false" customHeight="false" outlineLevel="0" collapsed="false">
      <c r="A15" s="26"/>
      <c r="B15" s="24"/>
      <c r="C15" s="24"/>
      <c r="D15" s="25"/>
      <c r="E15" s="17"/>
      <c r="F15" s="24"/>
      <c r="G15" s="24"/>
    </row>
    <row r="16" customFormat="false" ht="15" hidden="false" customHeight="false" outlineLevel="0" collapsed="false">
      <c r="A16" s="26"/>
      <c r="B16" s="24"/>
      <c r="C16" s="24"/>
      <c r="D16" s="25"/>
      <c r="E16" s="17"/>
      <c r="F16" s="24"/>
      <c r="G16" s="24"/>
    </row>
    <row r="17" customFormat="false" ht="15" hidden="false" customHeight="false" outlineLevel="0" collapsed="false">
      <c r="A17" s="26"/>
      <c r="B17" s="24"/>
      <c r="C17" s="24"/>
      <c r="D17" s="25"/>
      <c r="E17" s="17"/>
      <c r="F17" s="24"/>
      <c r="G17" s="24"/>
    </row>
    <row r="18" customFormat="false" ht="15" hidden="false" customHeight="false" outlineLevel="0" collapsed="false">
      <c r="A18" s="26"/>
      <c r="B18" s="24"/>
      <c r="C18" s="24"/>
      <c r="D18" s="25"/>
      <c r="E18" s="17"/>
      <c r="F18" s="24"/>
      <c r="G18" s="24"/>
    </row>
    <row r="19" customFormat="false" ht="15" hidden="false" customHeight="false" outlineLevel="0" collapsed="false">
      <c r="A19" s="26"/>
      <c r="B19" s="24"/>
      <c r="C19" s="24"/>
      <c r="D19" s="25"/>
      <c r="E19" s="17"/>
      <c r="F19" s="24"/>
      <c r="G19" s="24"/>
    </row>
    <row r="20" customFormat="false" ht="15" hidden="false" customHeight="false" outlineLevel="0" collapsed="false">
      <c r="A20" s="26"/>
      <c r="B20" s="24"/>
      <c r="C20" s="24"/>
      <c r="D20" s="25"/>
      <c r="E20" s="17"/>
      <c r="F20" s="24"/>
      <c r="G20" s="24"/>
    </row>
    <row r="21" customFormat="false" ht="15" hidden="false" customHeight="false" outlineLevel="0" collapsed="false">
      <c r="A21" s="26"/>
      <c r="B21" s="24"/>
      <c r="C21" s="24"/>
      <c r="D21" s="25"/>
      <c r="E21" s="17"/>
      <c r="F21" s="24"/>
      <c r="G21" s="24"/>
    </row>
    <row r="22" customFormat="false" ht="15" hidden="false" customHeight="false" outlineLevel="0" collapsed="false">
      <c r="A22" s="26"/>
      <c r="B22" s="24"/>
      <c r="C22" s="24"/>
      <c r="D22" s="25"/>
      <c r="E22" s="17"/>
      <c r="F22" s="24"/>
      <c r="G22" s="24"/>
    </row>
    <row r="23" customFormat="false" ht="15" hidden="false" customHeight="false" outlineLevel="0" collapsed="false">
      <c r="A23" s="26"/>
      <c r="B23" s="24"/>
      <c r="C23" s="24"/>
      <c r="D23" s="25"/>
      <c r="E23" s="17"/>
      <c r="F23" s="24"/>
      <c r="G23" s="24"/>
    </row>
    <row r="24" customFormat="false" ht="15" hidden="false" customHeight="false" outlineLevel="0" collapsed="false">
      <c r="A24" s="26"/>
      <c r="B24" s="24"/>
      <c r="C24" s="24"/>
      <c r="D24" s="25"/>
      <c r="E24" s="17"/>
      <c r="F24" s="24"/>
      <c r="G24" s="24"/>
    </row>
    <row r="25" customFormat="false" ht="15" hidden="false" customHeight="false" outlineLevel="0" collapsed="false">
      <c r="A25" s="26"/>
      <c r="B25" s="24"/>
      <c r="C25" s="24"/>
      <c r="D25" s="25"/>
      <c r="E25" s="17"/>
      <c r="F25" s="24"/>
      <c r="G25" s="24"/>
    </row>
    <row r="26" customFormat="false" ht="15" hidden="false" customHeight="false" outlineLevel="0" collapsed="false">
      <c r="A26" s="26"/>
      <c r="B26" s="24"/>
      <c r="C26" s="24"/>
      <c r="D26" s="25"/>
      <c r="E26" s="17"/>
      <c r="F26" s="24"/>
      <c r="G26" s="24"/>
    </row>
    <row r="27" customFormat="false" ht="15" hidden="false" customHeight="false" outlineLevel="0" collapsed="false">
      <c r="A27" s="26"/>
      <c r="B27" s="24"/>
      <c r="C27" s="24"/>
      <c r="D27" s="25"/>
      <c r="E27" s="17"/>
      <c r="F27" s="24"/>
      <c r="G27" s="24"/>
    </row>
    <row r="28" customFormat="false" ht="15" hidden="false" customHeight="false" outlineLevel="0" collapsed="false">
      <c r="A28" s="26"/>
      <c r="B28" s="24"/>
      <c r="C28" s="24"/>
      <c r="D28" s="25"/>
      <c r="E28" s="17"/>
      <c r="F28" s="24"/>
      <c r="G28" s="24"/>
    </row>
    <row r="29" customFormat="false" ht="15" hidden="false" customHeight="false" outlineLevel="0" collapsed="false">
      <c r="A29" s="26"/>
      <c r="B29" s="24"/>
      <c r="C29" s="24"/>
      <c r="D29" s="25"/>
      <c r="E29" s="17"/>
      <c r="F29" s="24"/>
      <c r="G29" s="24"/>
    </row>
    <row r="30" customFormat="false" ht="15" hidden="false" customHeight="false" outlineLevel="0" collapsed="false">
      <c r="A30" s="26"/>
      <c r="B30" s="24"/>
      <c r="C30" s="24"/>
      <c r="D30" s="25"/>
      <c r="E30" s="17"/>
      <c r="F30" s="24"/>
      <c r="G30" s="24"/>
    </row>
    <row r="31" customFormat="false" ht="15" hidden="false" customHeight="false" outlineLevel="0" collapsed="false">
      <c r="A31" s="26"/>
      <c r="B31" s="24"/>
      <c r="C31" s="24"/>
      <c r="D31" s="25"/>
      <c r="E31" s="17"/>
      <c r="F31" s="24"/>
      <c r="G31" s="24"/>
    </row>
    <row r="32" customFormat="false" ht="15" hidden="false" customHeight="false" outlineLevel="0" collapsed="false">
      <c r="A32" s="26"/>
      <c r="B32" s="24"/>
      <c r="C32" s="24"/>
      <c r="D32" s="25"/>
      <c r="E32" s="17"/>
      <c r="F32" s="24"/>
      <c r="G32" s="24"/>
    </row>
    <row r="33" customFormat="false" ht="15" hidden="false" customHeight="false" outlineLevel="0" collapsed="false">
      <c r="A33" s="26"/>
      <c r="B33" s="24"/>
      <c r="C33" s="24"/>
      <c r="D33" s="25"/>
      <c r="E33" s="17"/>
      <c r="F33" s="24"/>
      <c r="G33" s="24"/>
    </row>
    <row r="34" customFormat="false" ht="15" hidden="false" customHeight="false" outlineLevel="0" collapsed="false">
      <c r="A34" s="26"/>
      <c r="B34" s="24"/>
      <c r="C34" s="24"/>
      <c r="D34" s="25"/>
      <c r="E34" s="17"/>
      <c r="F34" s="24"/>
      <c r="G34" s="24"/>
    </row>
    <row r="35" customFormat="false" ht="15" hidden="false" customHeight="false" outlineLevel="0" collapsed="false">
      <c r="A35" s="26"/>
      <c r="B35" s="24"/>
      <c r="C35" s="24"/>
      <c r="D35" s="25"/>
      <c r="E35" s="17"/>
      <c r="F35" s="24"/>
      <c r="G35" s="24"/>
    </row>
    <row r="36" customFormat="false" ht="15" hidden="false" customHeight="false" outlineLevel="0" collapsed="false">
      <c r="A36" s="26"/>
      <c r="B36" s="24"/>
      <c r="C36" s="24"/>
      <c r="D36" s="25"/>
      <c r="E36" s="17"/>
      <c r="F36" s="24"/>
      <c r="G36" s="24"/>
    </row>
    <row r="37" customFormat="false" ht="15" hidden="false" customHeight="false" outlineLevel="0" collapsed="false">
      <c r="A37" s="26"/>
      <c r="B37" s="24"/>
      <c r="C37" s="24"/>
      <c r="D37" s="25"/>
      <c r="E37" s="17"/>
      <c r="F37" s="24"/>
      <c r="G37" s="24"/>
    </row>
    <row r="38" customFormat="false" ht="15" hidden="false" customHeight="false" outlineLevel="0" collapsed="false">
      <c r="A38" s="26"/>
      <c r="B38" s="24"/>
      <c r="C38" s="24"/>
      <c r="D38" s="25"/>
      <c r="E38" s="17"/>
      <c r="F38" s="24"/>
      <c r="G38" s="24"/>
    </row>
    <row r="39" customFormat="false" ht="15" hidden="false" customHeight="false" outlineLevel="0" collapsed="false">
      <c r="A39" s="26"/>
      <c r="B39" s="24"/>
      <c r="C39" s="24"/>
      <c r="D39" s="25"/>
      <c r="E39" s="17"/>
      <c r="F39" s="24"/>
      <c r="G39" s="24"/>
    </row>
    <row r="40" customFormat="false" ht="15" hidden="false" customHeight="false" outlineLevel="0" collapsed="false">
      <c r="A40" s="26"/>
      <c r="B40" s="24"/>
      <c r="C40" s="24"/>
      <c r="D40" s="25"/>
      <c r="E40" s="17"/>
      <c r="F40" s="24"/>
      <c r="G40" s="24"/>
    </row>
    <row r="41" customFormat="false" ht="15" hidden="false" customHeight="false" outlineLevel="0" collapsed="false">
      <c r="A41" s="26"/>
      <c r="B41" s="24"/>
      <c r="C41" s="24"/>
      <c r="D41" s="25"/>
      <c r="E41" s="17"/>
      <c r="F41" s="24"/>
      <c r="G41" s="24"/>
    </row>
    <row r="42" customFormat="false" ht="15" hidden="false" customHeight="false" outlineLevel="0" collapsed="false">
      <c r="A42" s="26"/>
      <c r="B42" s="24"/>
      <c r="C42" s="24"/>
      <c r="D42" s="25"/>
      <c r="E42" s="17"/>
      <c r="F42" s="24"/>
      <c r="G42" s="24"/>
    </row>
    <row r="43" customFormat="false" ht="15" hidden="false" customHeight="false" outlineLevel="0" collapsed="false">
      <c r="A43" s="26"/>
      <c r="B43" s="24"/>
      <c r="C43" s="24"/>
      <c r="D43" s="25"/>
      <c r="E43" s="17"/>
      <c r="F43" s="24"/>
      <c r="G43" s="24"/>
    </row>
    <row r="44" customFormat="false" ht="15" hidden="false" customHeight="false" outlineLevel="0" collapsed="false">
      <c r="A44" s="26"/>
      <c r="B44" s="24"/>
      <c r="C44" s="24"/>
      <c r="D44" s="25"/>
      <c r="E44" s="17"/>
      <c r="F44" s="24"/>
      <c r="G44" s="24"/>
    </row>
    <row r="45" customFormat="false" ht="15" hidden="false" customHeight="false" outlineLevel="0" collapsed="false">
      <c r="A45" s="26"/>
      <c r="B45" s="24"/>
      <c r="C45" s="24"/>
      <c r="D45" s="25"/>
      <c r="E45" s="17"/>
      <c r="F45" s="24"/>
      <c r="G45" s="24"/>
    </row>
    <row r="46" customFormat="false" ht="15" hidden="false" customHeight="false" outlineLevel="0" collapsed="false">
      <c r="A46" s="26"/>
      <c r="B46" s="24"/>
      <c r="C46" s="24"/>
      <c r="D46" s="25"/>
      <c r="E46" s="17"/>
      <c r="F46" s="24"/>
      <c r="G46" s="24"/>
    </row>
    <row r="47" customFormat="false" ht="15" hidden="false" customHeight="false" outlineLevel="0" collapsed="false">
      <c r="A47" s="26"/>
      <c r="B47" s="24"/>
      <c r="C47" s="24"/>
      <c r="D47" s="25"/>
      <c r="E47" s="17"/>
      <c r="F47" s="24"/>
      <c r="G47" s="24"/>
    </row>
    <row r="48" customFormat="false" ht="15" hidden="false" customHeight="false" outlineLevel="0" collapsed="false">
      <c r="A48" s="26"/>
      <c r="B48" s="24"/>
      <c r="C48" s="24"/>
      <c r="D48" s="25"/>
      <c r="E48" s="17"/>
      <c r="F48" s="24"/>
      <c r="G48" s="24"/>
    </row>
    <row r="49" customFormat="false" ht="15" hidden="false" customHeight="false" outlineLevel="0" collapsed="false">
      <c r="A49" s="26"/>
      <c r="B49" s="24"/>
      <c r="C49" s="24"/>
      <c r="D49" s="25"/>
      <c r="E49" s="17"/>
      <c r="F49" s="24"/>
      <c r="G49" s="24"/>
    </row>
    <row r="50" customFormat="false" ht="15" hidden="false" customHeight="false" outlineLevel="0" collapsed="false">
      <c r="A50" s="26"/>
      <c r="B50" s="24"/>
      <c r="C50" s="24"/>
      <c r="D50" s="25"/>
      <c r="E50" s="17"/>
      <c r="F50" s="24"/>
      <c r="G50" s="24"/>
    </row>
    <row r="51" customFormat="false" ht="15" hidden="false" customHeight="false" outlineLevel="0" collapsed="false">
      <c r="A51" s="26"/>
      <c r="B51" s="24"/>
      <c r="C51" s="24"/>
      <c r="D51" s="25"/>
      <c r="E51" s="17"/>
      <c r="F51" s="24"/>
      <c r="G51" s="24"/>
    </row>
    <row r="52" customFormat="false" ht="15" hidden="false" customHeight="false" outlineLevel="0" collapsed="false">
      <c r="A52" s="26"/>
      <c r="B52" s="24"/>
      <c r="C52" s="24"/>
      <c r="D52" s="25"/>
      <c r="E52" s="17"/>
      <c r="F52" s="24"/>
      <c r="G52" s="24"/>
    </row>
    <row r="53" customFormat="false" ht="15" hidden="false" customHeight="false" outlineLevel="0" collapsed="false">
      <c r="A53" s="26"/>
      <c r="B53" s="24"/>
      <c r="C53" s="24"/>
      <c r="D53" s="25"/>
      <c r="E53" s="17"/>
      <c r="F53" s="24"/>
      <c r="G53" s="24"/>
    </row>
    <row r="54" customFormat="false" ht="15" hidden="false" customHeight="false" outlineLevel="0" collapsed="false">
      <c r="A54" s="26"/>
      <c r="B54" s="24"/>
      <c r="C54" s="24"/>
      <c r="D54" s="25"/>
      <c r="E54" s="17"/>
      <c r="F54" s="24"/>
      <c r="G54" s="24"/>
    </row>
    <row r="55" customFormat="false" ht="15" hidden="false" customHeight="false" outlineLevel="0" collapsed="false">
      <c r="A55" s="26"/>
      <c r="B55" s="24"/>
      <c r="C55" s="24"/>
      <c r="D55" s="25"/>
      <c r="E55" s="17"/>
      <c r="F55" s="24"/>
      <c r="G55" s="24"/>
    </row>
    <row r="56" customFormat="false" ht="15" hidden="false" customHeight="false" outlineLevel="0" collapsed="false">
      <c r="A56" s="26"/>
      <c r="B56" s="24"/>
      <c r="C56" s="24"/>
      <c r="D56" s="25"/>
      <c r="E56" s="17"/>
      <c r="F56" s="24"/>
      <c r="G56" s="24"/>
    </row>
    <row r="57" customFormat="false" ht="15" hidden="false" customHeight="false" outlineLevel="0" collapsed="false">
      <c r="A57" s="26"/>
      <c r="B57" s="24"/>
      <c r="C57" s="24"/>
      <c r="D57" s="25"/>
      <c r="E57" s="17"/>
      <c r="F57" s="24"/>
      <c r="G57" s="24"/>
    </row>
    <row r="58" customFormat="false" ht="15" hidden="false" customHeight="false" outlineLevel="0" collapsed="false">
      <c r="A58" s="26"/>
      <c r="B58" s="24"/>
      <c r="C58" s="24"/>
      <c r="D58" s="25"/>
      <c r="E58" s="17"/>
      <c r="F58" s="24"/>
      <c r="G58" s="24"/>
    </row>
    <row r="59" customFormat="false" ht="15" hidden="false" customHeight="false" outlineLevel="0" collapsed="false">
      <c r="A59" s="26"/>
      <c r="B59" s="24"/>
      <c r="C59" s="24"/>
      <c r="D59" s="25"/>
      <c r="E59" s="17"/>
      <c r="F59" s="24"/>
      <c r="G59" s="24"/>
    </row>
    <row r="60" customFormat="false" ht="15" hidden="false" customHeight="false" outlineLevel="0" collapsed="false">
      <c r="A60" s="26"/>
      <c r="B60" s="24"/>
      <c r="C60" s="24"/>
      <c r="D60" s="25"/>
      <c r="E60" s="17"/>
      <c r="F60" s="24"/>
      <c r="G60" s="24"/>
    </row>
    <row r="61" customFormat="false" ht="15" hidden="false" customHeight="false" outlineLevel="0" collapsed="false">
      <c r="A61" s="26"/>
      <c r="B61" s="24"/>
      <c r="C61" s="24"/>
      <c r="D61" s="25"/>
      <c r="E61" s="17"/>
      <c r="F61" s="24"/>
      <c r="G61" s="24"/>
    </row>
    <row r="62" customFormat="false" ht="15" hidden="false" customHeight="false" outlineLevel="0" collapsed="false">
      <c r="A62" s="26"/>
      <c r="B62" s="24"/>
      <c r="C62" s="24"/>
      <c r="D62" s="25"/>
      <c r="E62" s="17"/>
      <c r="F62" s="24"/>
      <c r="G62" s="24"/>
    </row>
    <row r="63" customFormat="false" ht="15" hidden="false" customHeight="false" outlineLevel="0" collapsed="false">
      <c r="A63" s="26"/>
      <c r="B63" s="24"/>
      <c r="C63" s="24"/>
      <c r="D63" s="25"/>
      <c r="E63" s="17"/>
      <c r="F63" s="24"/>
      <c r="G63" s="24"/>
    </row>
    <row r="64" customFormat="false" ht="15" hidden="false" customHeight="false" outlineLevel="0" collapsed="false">
      <c r="A64" s="26"/>
      <c r="B64" s="24"/>
      <c r="C64" s="24"/>
      <c r="D64" s="25"/>
      <c r="E64" s="17"/>
      <c r="F64" s="24"/>
      <c r="G64" s="24"/>
    </row>
    <row r="65" customFormat="false" ht="15" hidden="false" customHeight="false" outlineLevel="0" collapsed="false">
      <c r="A65" s="26"/>
      <c r="B65" s="24"/>
      <c r="C65" s="24"/>
      <c r="D65" s="25"/>
      <c r="E65" s="17"/>
      <c r="F65" s="24"/>
      <c r="G65" s="24"/>
    </row>
    <row r="66" customFormat="false" ht="15" hidden="false" customHeight="false" outlineLevel="0" collapsed="false">
      <c r="A66" s="26"/>
      <c r="B66" s="24"/>
      <c r="C66" s="24"/>
      <c r="D66" s="25"/>
      <c r="E66" s="17"/>
      <c r="F66" s="24"/>
      <c r="G66" s="24"/>
    </row>
    <row r="67" customFormat="false" ht="15" hidden="false" customHeight="false" outlineLevel="0" collapsed="false">
      <c r="A67" s="26"/>
      <c r="B67" s="24"/>
      <c r="C67" s="24"/>
      <c r="D67" s="25"/>
      <c r="E67" s="17"/>
      <c r="F67" s="24"/>
      <c r="G67" s="24"/>
    </row>
    <row r="68" customFormat="false" ht="15" hidden="false" customHeight="false" outlineLevel="0" collapsed="false">
      <c r="A68" s="26"/>
      <c r="B68" s="24"/>
      <c r="C68" s="24"/>
      <c r="D68" s="25"/>
      <c r="E68" s="17"/>
      <c r="F68" s="24"/>
      <c r="G68" s="24"/>
    </row>
    <row r="69" customFormat="false" ht="15" hidden="false" customHeight="false" outlineLevel="0" collapsed="false">
      <c r="A69" s="26"/>
      <c r="B69" s="24"/>
      <c r="C69" s="24"/>
      <c r="D69" s="25"/>
      <c r="E69" s="17"/>
      <c r="F69" s="24"/>
      <c r="G69" s="24"/>
    </row>
    <row r="70" customFormat="false" ht="15" hidden="false" customHeight="false" outlineLevel="0" collapsed="false">
      <c r="A70" s="26"/>
      <c r="B70" s="24"/>
      <c r="C70" s="24"/>
      <c r="D70" s="25"/>
      <c r="E70" s="17"/>
      <c r="F70" s="24"/>
      <c r="G70" s="24"/>
    </row>
    <row r="71" customFormat="false" ht="15" hidden="false" customHeight="false" outlineLevel="0" collapsed="false">
      <c r="A71" s="26"/>
      <c r="B71" s="24"/>
      <c r="C71" s="24"/>
      <c r="D71" s="25"/>
      <c r="E71" s="17"/>
      <c r="F71" s="24"/>
      <c r="G71" s="24"/>
    </row>
    <row r="72" customFormat="false" ht="15" hidden="false" customHeight="false" outlineLevel="0" collapsed="false">
      <c r="A72" s="26"/>
      <c r="B72" s="24"/>
      <c r="C72" s="24"/>
      <c r="D72" s="25"/>
      <c r="E72" s="17"/>
      <c r="F72" s="24"/>
      <c r="G72" s="24"/>
    </row>
    <row r="73" customFormat="false" ht="15" hidden="false" customHeight="false" outlineLevel="0" collapsed="false">
      <c r="A73" s="26"/>
      <c r="B73" s="24"/>
      <c r="C73" s="24"/>
      <c r="D73" s="25"/>
      <c r="E73" s="17"/>
      <c r="F73" s="24"/>
      <c r="G73" s="24"/>
    </row>
    <row r="74" customFormat="false" ht="15" hidden="false" customHeight="false" outlineLevel="0" collapsed="false">
      <c r="A74" s="26"/>
      <c r="B74" s="24"/>
      <c r="C74" s="24"/>
      <c r="D74" s="25"/>
      <c r="E74" s="17"/>
      <c r="F74" s="24"/>
      <c r="G74" s="24"/>
    </row>
    <row r="75" customFormat="false" ht="15" hidden="false" customHeight="false" outlineLevel="0" collapsed="false">
      <c r="A75" s="26"/>
      <c r="B75" s="24"/>
      <c r="C75" s="24"/>
      <c r="D75" s="25"/>
      <c r="E75" s="17"/>
      <c r="F75" s="24"/>
      <c r="G75" s="24"/>
    </row>
    <row r="76" customFormat="false" ht="15" hidden="false" customHeight="false" outlineLevel="0" collapsed="false">
      <c r="A76" s="26"/>
      <c r="B76" s="24"/>
      <c r="C76" s="24"/>
      <c r="D76" s="25"/>
      <c r="E76" s="17"/>
      <c r="F76" s="24"/>
      <c r="G76" s="24"/>
    </row>
    <row r="77" customFormat="false" ht="15" hidden="false" customHeight="false" outlineLevel="0" collapsed="false">
      <c r="A77" s="26"/>
      <c r="B77" s="24"/>
      <c r="C77" s="24"/>
      <c r="D77" s="25"/>
      <c r="E77" s="17"/>
      <c r="F77" s="24"/>
      <c r="G77" s="24"/>
    </row>
    <row r="78" customFormat="false" ht="15" hidden="false" customHeight="false" outlineLevel="0" collapsed="false">
      <c r="A78" s="26"/>
      <c r="B78" s="24"/>
      <c r="C78" s="24"/>
      <c r="D78" s="25"/>
      <c r="E78" s="17"/>
      <c r="F78" s="24"/>
      <c r="G78" s="24"/>
    </row>
    <row r="79" customFormat="false" ht="15" hidden="false" customHeight="false" outlineLevel="0" collapsed="false">
      <c r="A79" s="26"/>
      <c r="B79" s="24"/>
      <c r="C79" s="24"/>
      <c r="D79" s="25"/>
      <c r="E79" s="17"/>
      <c r="F79" s="24"/>
      <c r="G79" s="24"/>
    </row>
    <row r="80" customFormat="false" ht="15" hidden="false" customHeight="false" outlineLevel="0" collapsed="false">
      <c r="A80" s="26"/>
      <c r="B80" s="24"/>
      <c r="C80" s="24"/>
      <c r="D80" s="25"/>
      <c r="E80" s="17"/>
      <c r="F80" s="24"/>
      <c r="G80" s="24"/>
    </row>
    <row r="81" customFormat="false" ht="15" hidden="false" customHeight="false" outlineLevel="0" collapsed="false">
      <c r="A81" s="26"/>
      <c r="B81" s="24"/>
      <c r="C81" s="24"/>
      <c r="D81" s="25"/>
      <c r="E81" s="17"/>
      <c r="F81" s="24"/>
      <c r="G81" s="24"/>
    </row>
    <row r="82" customFormat="false" ht="15" hidden="false" customHeight="false" outlineLevel="0" collapsed="false">
      <c r="A82" s="26"/>
      <c r="B82" s="24"/>
      <c r="C82" s="24"/>
      <c r="D82" s="25"/>
      <c r="E82" s="17"/>
      <c r="F82" s="24"/>
      <c r="G82" s="24"/>
    </row>
    <row r="83" customFormat="false" ht="15" hidden="false" customHeight="false" outlineLevel="0" collapsed="false">
      <c r="A83" s="26"/>
      <c r="B83" s="24"/>
      <c r="C83" s="24"/>
      <c r="D83" s="25"/>
      <c r="E83" s="17"/>
      <c r="F83" s="24"/>
      <c r="G83" s="24"/>
    </row>
    <row r="84" customFormat="false" ht="15" hidden="false" customHeight="false" outlineLevel="0" collapsed="false">
      <c r="A84" s="26"/>
      <c r="B84" s="24"/>
      <c r="C84" s="24"/>
      <c r="D84" s="25"/>
      <c r="E84" s="17"/>
      <c r="F84" s="24"/>
      <c r="G84" s="24"/>
    </row>
    <row r="85" customFormat="false" ht="15" hidden="false" customHeight="false" outlineLevel="0" collapsed="false">
      <c r="A85" s="26"/>
      <c r="B85" s="24"/>
      <c r="C85" s="24"/>
      <c r="D85" s="25"/>
      <c r="E85" s="17"/>
      <c r="F85" s="24"/>
      <c r="G85" s="24"/>
    </row>
    <row r="86" customFormat="false" ht="15" hidden="false" customHeight="false" outlineLevel="0" collapsed="false">
      <c r="A86" s="26"/>
      <c r="B86" s="24"/>
      <c r="C86" s="24"/>
      <c r="D86" s="25"/>
      <c r="E86" s="17"/>
      <c r="F86" s="24"/>
      <c r="G86" s="24"/>
    </row>
    <row r="87" customFormat="false" ht="15" hidden="false" customHeight="false" outlineLevel="0" collapsed="false">
      <c r="A87" s="26"/>
      <c r="B87" s="24"/>
      <c r="C87" s="24"/>
      <c r="D87" s="25"/>
      <c r="E87" s="17"/>
      <c r="F87" s="24"/>
      <c r="G87" s="24"/>
    </row>
    <row r="88" customFormat="false" ht="15" hidden="false" customHeight="false" outlineLevel="0" collapsed="false">
      <c r="A88" s="26"/>
      <c r="B88" s="24"/>
      <c r="C88" s="24"/>
      <c r="D88" s="25"/>
      <c r="E88" s="17"/>
      <c r="F88" s="24"/>
      <c r="G88" s="24"/>
    </row>
    <row r="89" customFormat="false" ht="15" hidden="false" customHeight="false" outlineLevel="0" collapsed="false">
      <c r="A89" s="26"/>
      <c r="B89" s="24"/>
      <c r="C89" s="24"/>
      <c r="D89" s="25"/>
      <c r="E89" s="17"/>
      <c r="F89" s="24"/>
      <c r="G89" s="24"/>
    </row>
    <row r="90" customFormat="false" ht="15" hidden="false" customHeight="false" outlineLevel="0" collapsed="false">
      <c r="A90" s="26"/>
      <c r="B90" s="24"/>
      <c r="C90" s="24"/>
      <c r="D90" s="25"/>
      <c r="E90" s="17"/>
      <c r="F90" s="24"/>
      <c r="G90" s="24"/>
    </row>
    <row r="91" customFormat="false" ht="15" hidden="false" customHeight="false" outlineLevel="0" collapsed="false">
      <c r="A91" s="26"/>
      <c r="B91" s="24"/>
      <c r="C91" s="24"/>
      <c r="D91" s="25"/>
      <c r="E91" s="17"/>
      <c r="F91" s="24"/>
      <c r="G91" s="24"/>
    </row>
    <row r="92" customFormat="false" ht="15" hidden="false" customHeight="false" outlineLevel="0" collapsed="false">
      <c r="A92" s="26"/>
      <c r="B92" s="24"/>
      <c r="C92" s="24"/>
      <c r="D92" s="25"/>
      <c r="E92" s="17"/>
      <c r="F92" s="24"/>
      <c r="G92" s="24"/>
    </row>
    <row r="93" customFormat="false" ht="15" hidden="false" customHeight="false" outlineLevel="0" collapsed="false">
      <c r="A93" s="26"/>
      <c r="B93" s="24"/>
      <c r="C93" s="24"/>
      <c r="D93" s="25"/>
      <c r="E93" s="17"/>
      <c r="F93" s="24"/>
      <c r="G93" s="24"/>
    </row>
    <row r="94" customFormat="false" ht="15" hidden="false" customHeight="false" outlineLevel="0" collapsed="false">
      <c r="A94" s="26"/>
      <c r="B94" s="24"/>
      <c r="C94" s="24"/>
      <c r="D94" s="25"/>
      <c r="E94" s="17"/>
      <c r="F94" s="24"/>
      <c r="G94" s="24"/>
    </row>
    <row r="95" customFormat="false" ht="15" hidden="false" customHeight="false" outlineLevel="0" collapsed="false">
      <c r="A95" s="26"/>
      <c r="B95" s="24"/>
      <c r="C95" s="24"/>
      <c r="D95" s="25"/>
      <c r="E95" s="17"/>
      <c r="F95" s="24"/>
      <c r="G95" s="24"/>
    </row>
    <row r="96" customFormat="false" ht="15" hidden="false" customHeight="false" outlineLevel="0" collapsed="false">
      <c r="A96" s="26"/>
      <c r="B96" s="24"/>
      <c r="C96" s="24"/>
      <c r="D96" s="25"/>
      <c r="E96" s="17"/>
      <c r="F96" s="24"/>
      <c r="G96" s="24"/>
    </row>
    <row r="97" customFormat="false" ht="15" hidden="false" customHeight="false" outlineLevel="0" collapsed="false">
      <c r="A97" s="26"/>
      <c r="B97" s="24"/>
      <c r="C97" s="24"/>
      <c r="D97" s="25"/>
      <c r="E97" s="17"/>
      <c r="F97" s="24"/>
      <c r="G97" s="24"/>
    </row>
    <row r="98" customFormat="false" ht="15" hidden="false" customHeight="false" outlineLevel="0" collapsed="false">
      <c r="A98" s="26"/>
      <c r="B98" s="24"/>
      <c r="C98" s="24"/>
      <c r="D98" s="25"/>
      <c r="E98" s="17"/>
      <c r="F98" s="24"/>
      <c r="G98" s="24"/>
    </row>
    <row r="99" customFormat="false" ht="15" hidden="false" customHeight="false" outlineLevel="0" collapsed="false">
      <c r="A99" s="26"/>
      <c r="B99" s="24"/>
      <c r="C99" s="24"/>
      <c r="D99" s="25"/>
      <c r="E99" s="17"/>
      <c r="F99" s="24"/>
      <c r="G99" s="24"/>
    </row>
    <row r="100" customFormat="false" ht="15" hidden="false" customHeight="false" outlineLevel="0" collapsed="false">
      <c r="A100" s="26"/>
      <c r="B100" s="24"/>
      <c r="C100" s="24"/>
      <c r="D100" s="25"/>
      <c r="E100" s="17"/>
      <c r="F100" s="24"/>
      <c r="G100" s="24"/>
    </row>
    <row r="101" customFormat="false" ht="15" hidden="false" customHeight="false" outlineLevel="0" collapsed="false">
      <c r="A101" s="26"/>
      <c r="B101" s="24"/>
      <c r="C101" s="24"/>
      <c r="D101" s="25"/>
      <c r="E101" s="17"/>
      <c r="F101" s="24"/>
      <c r="G101" s="24"/>
    </row>
    <row r="102" customFormat="false" ht="15" hidden="false" customHeight="false" outlineLevel="0" collapsed="false">
      <c r="A102" s="26"/>
      <c r="B102" s="24"/>
      <c r="C102" s="24"/>
      <c r="D102" s="25"/>
      <c r="E102" s="17"/>
      <c r="F102" s="24"/>
      <c r="G102" s="24"/>
    </row>
    <row r="103" customFormat="false" ht="15" hidden="false" customHeight="false" outlineLevel="0" collapsed="false">
      <c r="A103" s="26"/>
      <c r="B103" s="24"/>
      <c r="C103" s="24"/>
      <c r="D103" s="25"/>
      <c r="E103" s="17"/>
      <c r="F103" s="24"/>
      <c r="G103" s="24"/>
    </row>
    <row r="104" customFormat="false" ht="15" hidden="false" customHeight="false" outlineLevel="0" collapsed="false">
      <c r="A104" s="26"/>
      <c r="B104" s="24"/>
      <c r="C104" s="24"/>
      <c r="D104" s="25"/>
      <c r="E104" s="17"/>
      <c r="F104" s="24"/>
      <c r="G104" s="24"/>
    </row>
    <row r="105" customFormat="false" ht="15" hidden="false" customHeight="false" outlineLevel="0" collapsed="false">
      <c r="A105" s="26"/>
      <c r="B105" s="24"/>
      <c r="C105" s="24"/>
      <c r="D105" s="25"/>
      <c r="E105" s="17"/>
      <c r="F105" s="24"/>
      <c r="G105" s="24"/>
    </row>
    <row r="106" customFormat="false" ht="15" hidden="false" customHeight="false" outlineLevel="0" collapsed="false">
      <c r="A106" s="26"/>
      <c r="B106" s="24"/>
      <c r="C106" s="24"/>
      <c r="D106" s="25"/>
      <c r="E106" s="17"/>
      <c r="F106" s="24"/>
      <c r="G106" s="24"/>
    </row>
    <row r="107" customFormat="false" ht="15" hidden="false" customHeight="false" outlineLevel="0" collapsed="false">
      <c r="A107" s="26"/>
      <c r="B107" s="24"/>
      <c r="C107" s="24"/>
      <c r="D107" s="25"/>
      <c r="E107" s="17"/>
      <c r="F107" s="24"/>
      <c r="G107" s="24"/>
    </row>
    <row r="108" customFormat="false" ht="15" hidden="false" customHeight="false" outlineLevel="0" collapsed="false">
      <c r="A108" s="26"/>
      <c r="B108" s="24"/>
      <c r="C108" s="24"/>
      <c r="D108" s="25"/>
      <c r="E108" s="17"/>
      <c r="F108" s="24"/>
      <c r="G108" s="24"/>
    </row>
    <row r="109" customFormat="false" ht="15" hidden="false" customHeight="false" outlineLevel="0" collapsed="false">
      <c r="A109" s="26"/>
      <c r="B109" s="24"/>
      <c r="C109" s="24"/>
      <c r="D109" s="25"/>
      <c r="E109" s="17"/>
      <c r="F109" s="24"/>
      <c r="G109" s="24"/>
    </row>
    <row r="110" customFormat="false" ht="15" hidden="false" customHeight="false" outlineLevel="0" collapsed="false">
      <c r="A110" s="26"/>
      <c r="B110" s="24"/>
      <c r="C110" s="24"/>
      <c r="D110" s="25"/>
      <c r="E110" s="17"/>
      <c r="F110" s="24"/>
      <c r="G110" s="24"/>
    </row>
    <row r="111" customFormat="false" ht="15" hidden="false" customHeight="false" outlineLevel="0" collapsed="false">
      <c r="A111" s="26"/>
      <c r="B111" s="24"/>
      <c r="C111" s="24"/>
      <c r="D111" s="25"/>
      <c r="E111" s="17"/>
      <c r="F111" s="24"/>
      <c r="G111" s="24"/>
    </row>
    <row r="112" customFormat="false" ht="15" hidden="false" customHeight="false" outlineLevel="0" collapsed="false">
      <c r="A112" s="26"/>
      <c r="B112" s="24"/>
      <c r="C112" s="24"/>
      <c r="D112" s="25"/>
      <c r="E112" s="17"/>
      <c r="F112" s="24"/>
      <c r="G112" s="24"/>
    </row>
    <row r="113" customFormat="false" ht="15" hidden="false" customHeight="false" outlineLevel="0" collapsed="false">
      <c r="A113" s="26"/>
      <c r="B113" s="24"/>
      <c r="C113" s="24"/>
      <c r="D113" s="25"/>
      <c r="E113" s="17"/>
      <c r="F113" s="24"/>
      <c r="G113" s="24"/>
    </row>
    <row r="114" customFormat="false" ht="15" hidden="false" customHeight="false" outlineLevel="0" collapsed="false">
      <c r="A114" s="26"/>
      <c r="B114" s="24"/>
      <c r="C114" s="24"/>
      <c r="D114" s="25"/>
      <c r="E114" s="17"/>
      <c r="F114" s="24"/>
      <c r="G114" s="24"/>
    </row>
    <row r="115" customFormat="false" ht="15" hidden="false" customHeight="false" outlineLevel="0" collapsed="false">
      <c r="A115" s="26"/>
      <c r="B115" s="24"/>
      <c r="C115" s="24"/>
      <c r="D115" s="25"/>
      <c r="E115" s="17"/>
      <c r="F115" s="24"/>
      <c r="G115" s="24"/>
    </row>
    <row r="116" customFormat="false" ht="15" hidden="false" customHeight="false" outlineLevel="0" collapsed="false">
      <c r="A116" s="26"/>
      <c r="B116" s="24"/>
      <c r="C116" s="24"/>
      <c r="D116" s="25"/>
      <c r="E116" s="17"/>
      <c r="F116" s="24"/>
      <c r="G116" s="24"/>
    </row>
    <row r="117" customFormat="false" ht="15" hidden="false" customHeight="false" outlineLevel="0" collapsed="false">
      <c r="A117" s="26"/>
      <c r="B117" s="24"/>
      <c r="C117" s="24"/>
      <c r="D117" s="25"/>
      <c r="E117" s="17"/>
      <c r="F117" s="24"/>
      <c r="G117" s="24"/>
    </row>
    <row r="118" customFormat="false" ht="15" hidden="false" customHeight="false" outlineLevel="0" collapsed="false">
      <c r="A118" s="26"/>
      <c r="B118" s="24"/>
      <c r="C118" s="24"/>
      <c r="D118" s="25"/>
      <c r="E118" s="17"/>
      <c r="F118" s="24"/>
      <c r="G118" s="24"/>
    </row>
    <row r="119" customFormat="false" ht="15" hidden="false" customHeight="false" outlineLevel="0" collapsed="false">
      <c r="A119" s="26"/>
      <c r="B119" s="24"/>
      <c r="C119" s="24"/>
      <c r="D119" s="25"/>
      <c r="E119" s="17"/>
      <c r="F119" s="24"/>
      <c r="G119" s="24"/>
    </row>
    <row r="120" customFormat="false" ht="15" hidden="false" customHeight="false" outlineLevel="0" collapsed="false">
      <c r="A120" s="26"/>
      <c r="B120" s="24"/>
      <c r="C120" s="24"/>
      <c r="D120" s="25"/>
      <c r="E120" s="17"/>
      <c r="F120" s="24"/>
      <c r="G120" s="24"/>
    </row>
    <row r="121" customFormat="false" ht="15" hidden="false" customHeight="false" outlineLevel="0" collapsed="false">
      <c r="A121" s="26"/>
      <c r="B121" s="24"/>
      <c r="C121" s="24"/>
      <c r="D121" s="25"/>
      <c r="E121" s="17"/>
      <c r="F121" s="24"/>
      <c r="G121" s="24"/>
    </row>
    <row r="122" customFormat="false" ht="15" hidden="false" customHeight="false" outlineLevel="0" collapsed="false">
      <c r="A122" s="26"/>
      <c r="B122" s="24"/>
      <c r="C122" s="24"/>
      <c r="D122" s="25"/>
      <c r="E122" s="17"/>
      <c r="F122" s="24"/>
      <c r="G122" s="24"/>
    </row>
    <row r="123" customFormat="false" ht="15" hidden="false" customHeight="false" outlineLevel="0" collapsed="false">
      <c r="A123" s="26"/>
      <c r="B123" s="24"/>
      <c r="C123" s="24"/>
      <c r="D123" s="25"/>
      <c r="E123" s="17"/>
      <c r="F123" s="24"/>
      <c r="G123" s="24"/>
    </row>
    <row r="124" customFormat="false" ht="15" hidden="false" customHeight="false" outlineLevel="0" collapsed="false">
      <c r="A124" s="26"/>
      <c r="B124" s="24"/>
      <c r="C124" s="24"/>
      <c r="D124" s="25"/>
      <c r="E124" s="17"/>
      <c r="F124" s="24"/>
      <c r="G124" s="24"/>
    </row>
    <row r="125" customFormat="false" ht="15" hidden="false" customHeight="false" outlineLevel="0" collapsed="false">
      <c r="A125" s="26"/>
      <c r="B125" s="24"/>
      <c r="C125" s="24"/>
      <c r="D125" s="25"/>
      <c r="E125" s="17"/>
      <c r="F125" s="24"/>
      <c r="G125" s="24"/>
    </row>
    <row r="126" customFormat="false" ht="15" hidden="false" customHeight="false" outlineLevel="0" collapsed="false">
      <c r="A126" s="26"/>
      <c r="B126" s="24"/>
      <c r="C126" s="24"/>
      <c r="D126" s="25"/>
      <c r="E126" s="17"/>
      <c r="F126" s="24"/>
      <c r="G126" s="24"/>
    </row>
    <row r="127" customFormat="false" ht="15" hidden="false" customHeight="false" outlineLevel="0" collapsed="false">
      <c r="A127" s="26"/>
      <c r="B127" s="24"/>
      <c r="C127" s="24"/>
      <c r="D127" s="25"/>
      <c r="E127" s="17"/>
      <c r="F127" s="24"/>
      <c r="G127" s="24"/>
    </row>
    <row r="128" customFormat="false" ht="15" hidden="false" customHeight="false" outlineLevel="0" collapsed="false">
      <c r="A128" s="26"/>
      <c r="B128" s="24"/>
      <c r="C128" s="24"/>
      <c r="D128" s="25"/>
      <c r="E128" s="17"/>
      <c r="F128" s="24"/>
      <c r="G128" s="24"/>
    </row>
    <row r="129" customFormat="false" ht="15" hidden="false" customHeight="false" outlineLevel="0" collapsed="false">
      <c r="A129" s="26"/>
      <c r="B129" s="24"/>
      <c r="C129" s="24"/>
      <c r="D129" s="25"/>
      <c r="E129" s="17"/>
      <c r="F129" s="24"/>
      <c r="G129" s="24"/>
    </row>
    <row r="130" customFormat="false" ht="15" hidden="false" customHeight="false" outlineLevel="0" collapsed="false">
      <c r="A130" s="26"/>
      <c r="B130" s="24"/>
      <c r="C130" s="24"/>
      <c r="D130" s="25"/>
      <c r="E130" s="17"/>
      <c r="F130" s="24"/>
      <c r="G130" s="24"/>
    </row>
    <row r="131" customFormat="false" ht="15" hidden="false" customHeight="false" outlineLevel="0" collapsed="false">
      <c r="A131" s="26"/>
      <c r="B131" s="24"/>
      <c r="C131" s="24"/>
      <c r="D131" s="25"/>
      <c r="E131" s="17"/>
      <c r="F131" s="24"/>
      <c r="G131" s="24"/>
    </row>
    <row r="132" customFormat="false" ht="15" hidden="false" customHeight="false" outlineLevel="0" collapsed="false">
      <c r="A132" s="26"/>
      <c r="B132" s="24"/>
      <c r="C132" s="24"/>
      <c r="D132" s="25"/>
      <c r="E132" s="17"/>
      <c r="F132" s="24"/>
      <c r="G132" s="24"/>
    </row>
    <row r="133" customFormat="false" ht="15" hidden="false" customHeight="false" outlineLevel="0" collapsed="false">
      <c r="A133" s="26"/>
      <c r="B133" s="24"/>
      <c r="C133" s="24"/>
      <c r="D133" s="25"/>
      <c r="E133" s="17"/>
      <c r="F133" s="24"/>
      <c r="G133" s="24"/>
    </row>
    <row r="134" customFormat="false" ht="15" hidden="false" customHeight="false" outlineLevel="0" collapsed="false">
      <c r="A134" s="26"/>
      <c r="B134" s="24"/>
      <c r="C134" s="24"/>
      <c r="D134" s="25"/>
      <c r="E134" s="17"/>
      <c r="F134" s="24"/>
      <c r="G134" s="24"/>
    </row>
    <row r="135" customFormat="false" ht="15" hidden="false" customHeight="false" outlineLevel="0" collapsed="false">
      <c r="A135" s="26"/>
      <c r="B135" s="24"/>
      <c r="C135" s="24"/>
      <c r="D135" s="25"/>
      <c r="E135" s="17"/>
      <c r="F135" s="24"/>
      <c r="G135" s="24"/>
    </row>
    <row r="136" customFormat="false" ht="15" hidden="false" customHeight="false" outlineLevel="0" collapsed="false">
      <c r="A136" s="26"/>
      <c r="B136" s="24"/>
      <c r="C136" s="24"/>
      <c r="D136" s="25"/>
      <c r="E136" s="17"/>
      <c r="F136" s="24"/>
      <c r="G136" s="24"/>
    </row>
    <row r="137" customFormat="false" ht="15" hidden="false" customHeight="false" outlineLevel="0" collapsed="false">
      <c r="A137" s="26"/>
      <c r="B137" s="24"/>
      <c r="C137" s="24"/>
      <c r="D137" s="25"/>
      <c r="E137" s="17"/>
      <c r="F137" s="24"/>
      <c r="G137" s="24"/>
    </row>
    <row r="138" customFormat="false" ht="15" hidden="false" customHeight="false" outlineLevel="0" collapsed="false">
      <c r="A138" s="26"/>
      <c r="B138" s="24"/>
      <c r="C138" s="24"/>
      <c r="D138" s="25"/>
      <c r="E138" s="17"/>
      <c r="F138" s="24"/>
      <c r="G138" s="24"/>
    </row>
    <row r="139" customFormat="false" ht="15" hidden="false" customHeight="false" outlineLevel="0" collapsed="false">
      <c r="A139" s="26"/>
      <c r="B139" s="24"/>
      <c r="C139" s="24"/>
      <c r="D139" s="25"/>
      <c r="E139" s="17"/>
      <c r="F139" s="24"/>
      <c r="G139" s="24"/>
    </row>
    <row r="140" customFormat="false" ht="15" hidden="false" customHeight="false" outlineLevel="0" collapsed="false">
      <c r="A140" s="26"/>
      <c r="B140" s="24"/>
      <c r="C140" s="24"/>
      <c r="D140" s="25"/>
      <c r="E140" s="17"/>
      <c r="F140" s="24"/>
      <c r="G140" s="24"/>
    </row>
    <row r="141" customFormat="false" ht="15" hidden="false" customHeight="false" outlineLevel="0" collapsed="false">
      <c r="A141" s="26"/>
      <c r="B141" s="24"/>
      <c r="C141" s="24"/>
      <c r="D141" s="25"/>
      <c r="E141" s="17"/>
      <c r="F141" s="24"/>
      <c r="G141" s="24"/>
    </row>
    <row r="142" customFormat="false" ht="15" hidden="false" customHeight="false" outlineLevel="0" collapsed="false">
      <c r="A142" s="26"/>
      <c r="B142" s="24"/>
      <c r="C142" s="24"/>
      <c r="D142" s="25"/>
      <c r="E142" s="17"/>
      <c r="F142" s="24"/>
      <c r="G142" s="24"/>
    </row>
    <row r="143" customFormat="false" ht="15" hidden="false" customHeight="false" outlineLevel="0" collapsed="false">
      <c r="A143" s="26"/>
      <c r="B143" s="24"/>
      <c r="C143" s="24"/>
      <c r="D143" s="25"/>
      <c r="E143" s="17"/>
      <c r="F143" s="24"/>
      <c r="G143" s="24"/>
    </row>
    <row r="144" customFormat="false" ht="15" hidden="false" customHeight="false" outlineLevel="0" collapsed="false">
      <c r="A144" s="26"/>
      <c r="B144" s="24"/>
      <c r="C144" s="24"/>
      <c r="D144" s="25"/>
      <c r="E144" s="17"/>
      <c r="F144" s="24"/>
      <c r="G144" s="24"/>
    </row>
    <row r="145" customFormat="false" ht="15" hidden="false" customHeight="false" outlineLevel="0" collapsed="false">
      <c r="A145" s="26"/>
      <c r="B145" s="24"/>
      <c r="C145" s="24"/>
      <c r="D145" s="25"/>
      <c r="E145" s="17"/>
      <c r="F145" s="24"/>
      <c r="G145" s="24"/>
    </row>
    <row r="146" customFormat="false" ht="15" hidden="false" customHeight="false" outlineLevel="0" collapsed="false">
      <c r="A146" s="26"/>
      <c r="B146" s="24"/>
      <c r="C146" s="24"/>
      <c r="D146" s="25"/>
      <c r="E146" s="17"/>
      <c r="F146" s="24"/>
      <c r="G146" s="24"/>
    </row>
    <row r="147" customFormat="false" ht="15" hidden="false" customHeight="false" outlineLevel="0" collapsed="false">
      <c r="A147" s="26"/>
      <c r="B147" s="24"/>
      <c r="C147" s="24"/>
      <c r="D147" s="25"/>
      <c r="E147" s="17"/>
      <c r="F147" s="24"/>
      <c r="G147" s="24"/>
    </row>
    <row r="148" customFormat="false" ht="15" hidden="false" customHeight="false" outlineLevel="0" collapsed="false">
      <c r="A148" s="26"/>
      <c r="B148" s="24"/>
      <c r="C148" s="24"/>
      <c r="D148" s="25"/>
      <c r="E148" s="17"/>
      <c r="F148" s="24"/>
      <c r="G148" s="24"/>
    </row>
    <row r="149" customFormat="false" ht="15" hidden="false" customHeight="false" outlineLevel="0" collapsed="false">
      <c r="A149" s="26"/>
      <c r="B149" s="24"/>
      <c r="C149" s="24"/>
      <c r="D149" s="25"/>
      <c r="E149" s="17"/>
      <c r="F149" s="24"/>
      <c r="G149" s="24"/>
    </row>
    <row r="150" customFormat="false" ht="15" hidden="false" customHeight="false" outlineLevel="0" collapsed="false">
      <c r="A150" s="26"/>
      <c r="B150" s="24"/>
      <c r="C150" s="24"/>
      <c r="D150" s="25"/>
      <c r="E150" s="17"/>
      <c r="F150" s="24"/>
      <c r="G150" s="24"/>
    </row>
    <row r="151" customFormat="false" ht="15" hidden="false" customHeight="false" outlineLevel="0" collapsed="false">
      <c r="A151" s="26"/>
      <c r="B151" s="24"/>
      <c r="C151" s="24"/>
      <c r="D151" s="25"/>
      <c r="E151" s="17"/>
      <c r="F151" s="24"/>
      <c r="G151" s="24"/>
    </row>
    <row r="152" customFormat="false" ht="15" hidden="false" customHeight="false" outlineLevel="0" collapsed="false">
      <c r="A152" s="26"/>
      <c r="B152" s="24"/>
      <c r="C152" s="24"/>
      <c r="D152" s="25"/>
      <c r="E152" s="17"/>
      <c r="F152" s="24"/>
      <c r="G152" s="24"/>
    </row>
    <row r="153" customFormat="false" ht="15" hidden="false" customHeight="false" outlineLevel="0" collapsed="false">
      <c r="A153" s="26"/>
      <c r="B153" s="24"/>
      <c r="C153" s="24"/>
      <c r="D153" s="25"/>
      <c r="E153" s="17"/>
      <c r="F153" s="24"/>
      <c r="G153" s="24"/>
    </row>
    <row r="154" customFormat="false" ht="15" hidden="false" customHeight="false" outlineLevel="0" collapsed="false">
      <c r="A154" s="26"/>
      <c r="B154" s="24"/>
      <c r="C154" s="24"/>
      <c r="D154" s="25"/>
      <c r="E154" s="17"/>
      <c r="F154" s="24"/>
      <c r="G154" s="24"/>
    </row>
    <row r="155" customFormat="false" ht="15" hidden="false" customHeight="false" outlineLevel="0" collapsed="false">
      <c r="A155" s="26"/>
      <c r="B155" s="24"/>
      <c r="C155" s="24"/>
      <c r="D155" s="25"/>
      <c r="E155" s="17"/>
      <c r="F155" s="24"/>
      <c r="G155" s="24"/>
    </row>
    <row r="156" customFormat="false" ht="15" hidden="false" customHeight="false" outlineLevel="0" collapsed="false">
      <c r="A156" s="26"/>
      <c r="B156" s="24"/>
      <c r="C156" s="24"/>
      <c r="D156" s="25"/>
      <c r="E156" s="17"/>
      <c r="F156" s="24"/>
      <c r="G156" s="24"/>
    </row>
    <row r="157" customFormat="false" ht="15" hidden="false" customHeight="false" outlineLevel="0" collapsed="false">
      <c r="A157" s="26"/>
      <c r="B157" s="24"/>
      <c r="C157" s="24"/>
      <c r="D157" s="25"/>
      <c r="E157" s="17"/>
      <c r="F157" s="24"/>
      <c r="G157" s="24"/>
    </row>
    <row r="158" customFormat="false" ht="15" hidden="false" customHeight="false" outlineLevel="0" collapsed="false">
      <c r="A158" s="26"/>
      <c r="B158" s="24"/>
      <c r="C158" s="24"/>
      <c r="D158" s="25"/>
      <c r="E158" s="17"/>
      <c r="F158" s="24"/>
      <c r="G158" s="24"/>
    </row>
    <row r="159" customFormat="false" ht="15" hidden="false" customHeight="false" outlineLevel="0" collapsed="false">
      <c r="A159" s="26"/>
      <c r="B159" s="24"/>
      <c r="C159" s="24"/>
      <c r="D159" s="25"/>
      <c r="E159" s="17"/>
      <c r="F159" s="24"/>
      <c r="G159" s="24"/>
    </row>
    <row r="160" customFormat="false" ht="15" hidden="false" customHeight="false" outlineLevel="0" collapsed="false">
      <c r="A160" s="26"/>
      <c r="B160" s="24"/>
      <c r="C160" s="24"/>
      <c r="D160" s="25"/>
      <c r="E160" s="17"/>
      <c r="F160" s="24"/>
      <c r="G160" s="24"/>
    </row>
    <row r="161" customFormat="false" ht="15" hidden="false" customHeight="false" outlineLevel="0" collapsed="false">
      <c r="A161" s="26"/>
      <c r="B161" s="24"/>
      <c r="C161" s="24"/>
      <c r="D161" s="25"/>
      <c r="E161" s="17"/>
      <c r="F161" s="24"/>
      <c r="G161" s="24"/>
    </row>
    <row r="162" customFormat="false" ht="15" hidden="false" customHeight="false" outlineLevel="0" collapsed="false">
      <c r="A162" s="26"/>
      <c r="B162" s="24"/>
      <c r="C162" s="24"/>
      <c r="D162" s="25"/>
      <c r="E162" s="17"/>
      <c r="F162" s="24"/>
      <c r="G162" s="24"/>
    </row>
    <row r="163" customFormat="false" ht="15" hidden="false" customHeight="false" outlineLevel="0" collapsed="false">
      <c r="A163" s="26"/>
      <c r="B163" s="24"/>
      <c r="C163" s="24"/>
      <c r="D163" s="25"/>
      <c r="E163" s="17"/>
      <c r="F163" s="24"/>
      <c r="G163" s="24"/>
    </row>
    <row r="164" customFormat="false" ht="15" hidden="false" customHeight="false" outlineLevel="0" collapsed="false">
      <c r="A164" s="26"/>
      <c r="B164" s="24"/>
      <c r="C164" s="24"/>
      <c r="D164" s="25"/>
      <c r="E164" s="17"/>
      <c r="F164" s="24"/>
      <c r="G164" s="24"/>
    </row>
    <row r="165" customFormat="false" ht="15" hidden="false" customHeight="false" outlineLevel="0" collapsed="false">
      <c r="A165" s="26"/>
      <c r="B165" s="24"/>
      <c r="C165" s="24"/>
      <c r="D165" s="25"/>
      <c r="E165" s="17"/>
      <c r="F165" s="24"/>
      <c r="G165" s="24"/>
    </row>
    <row r="166" customFormat="false" ht="15" hidden="false" customHeight="false" outlineLevel="0" collapsed="false">
      <c r="A166" s="26"/>
      <c r="B166" s="24"/>
      <c r="C166" s="24"/>
      <c r="D166" s="25"/>
      <c r="E166" s="17"/>
      <c r="F166" s="24"/>
      <c r="G166" s="24"/>
    </row>
    <row r="167" customFormat="false" ht="15" hidden="false" customHeight="false" outlineLevel="0" collapsed="false">
      <c r="A167" s="26"/>
      <c r="B167" s="24"/>
      <c r="C167" s="24"/>
      <c r="D167" s="25"/>
      <c r="E167" s="17"/>
      <c r="F167" s="24"/>
      <c r="G167" s="24"/>
    </row>
    <row r="168" customFormat="false" ht="15" hidden="false" customHeight="false" outlineLevel="0" collapsed="false">
      <c r="A168" s="26"/>
      <c r="B168" s="24"/>
      <c r="C168" s="24"/>
      <c r="D168" s="25"/>
      <c r="E168" s="17"/>
      <c r="F168" s="24"/>
      <c r="G168" s="24"/>
    </row>
    <row r="169" customFormat="false" ht="15" hidden="false" customHeight="false" outlineLevel="0" collapsed="false">
      <c r="A169" s="26"/>
      <c r="B169" s="24"/>
      <c r="C169" s="24"/>
      <c r="D169" s="25"/>
      <c r="E169" s="17"/>
      <c r="F169" s="24"/>
      <c r="G169" s="24"/>
    </row>
    <row r="170" customFormat="false" ht="15" hidden="false" customHeight="false" outlineLevel="0" collapsed="false">
      <c r="A170" s="26"/>
      <c r="B170" s="24"/>
      <c r="C170" s="24"/>
      <c r="D170" s="25"/>
      <c r="E170" s="17"/>
      <c r="F170" s="24"/>
      <c r="G170" s="24"/>
    </row>
    <row r="171" customFormat="false" ht="15" hidden="false" customHeight="false" outlineLevel="0" collapsed="false">
      <c r="A171" s="26"/>
      <c r="B171" s="24"/>
      <c r="C171" s="24"/>
      <c r="D171" s="25"/>
      <c r="E171" s="17"/>
      <c r="F171" s="24"/>
      <c r="G171" s="24"/>
    </row>
    <row r="172" customFormat="false" ht="15" hidden="false" customHeight="false" outlineLevel="0" collapsed="false">
      <c r="A172" s="26"/>
      <c r="B172" s="24"/>
      <c r="C172" s="24"/>
      <c r="D172" s="25"/>
      <c r="E172" s="17"/>
      <c r="F172" s="24"/>
      <c r="G172" s="24"/>
    </row>
    <row r="173" customFormat="false" ht="15" hidden="false" customHeight="false" outlineLevel="0" collapsed="false">
      <c r="A173" s="26"/>
      <c r="B173" s="24"/>
      <c r="C173" s="24"/>
      <c r="D173" s="25"/>
      <c r="E173" s="17"/>
      <c r="F173" s="24"/>
      <c r="G173" s="24"/>
    </row>
    <row r="174" customFormat="false" ht="15" hidden="false" customHeight="false" outlineLevel="0" collapsed="false">
      <c r="A174" s="26"/>
      <c r="B174" s="24"/>
      <c r="C174" s="24"/>
      <c r="D174" s="25"/>
      <c r="E174" s="17"/>
      <c r="F174" s="24"/>
      <c r="G174" s="24"/>
    </row>
    <row r="175" customFormat="false" ht="15" hidden="false" customHeight="false" outlineLevel="0" collapsed="false">
      <c r="A175" s="26"/>
      <c r="B175" s="24"/>
      <c r="C175" s="24"/>
      <c r="D175" s="25"/>
      <c r="E175" s="17"/>
      <c r="F175" s="24"/>
      <c r="G175" s="24"/>
    </row>
    <row r="176" customFormat="false" ht="15" hidden="false" customHeight="false" outlineLevel="0" collapsed="false">
      <c r="A176" s="26"/>
      <c r="B176" s="24"/>
      <c r="C176" s="24"/>
      <c r="D176" s="25"/>
      <c r="E176" s="17"/>
      <c r="F176" s="24"/>
      <c r="G176" s="24"/>
    </row>
    <row r="177" customFormat="false" ht="15" hidden="false" customHeight="false" outlineLevel="0" collapsed="false">
      <c r="A177" s="26"/>
      <c r="B177" s="24"/>
      <c r="C177" s="24"/>
      <c r="D177" s="25"/>
      <c r="E177" s="17"/>
      <c r="F177" s="24"/>
      <c r="G177" s="24"/>
    </row>
    <row r="178" customFormat="false" ht="15" hidden="false" customHeight="false" outlineLevel="0" collapsed="false">
      <c r="A178" s="26"/>
      <c r="B178" s="24"/>
      <c r="C178" s="24"/>
      <c r="D178" s="25"/>
      <c r="E178" s="17"/>
      <c r="F178" s="24"/>
      <c r="G178" s="24"/>
    </row>
    <row r="179" customFormat="false" ht="15" hidden="false" customHeight="false" outlineLevel="0" collapsed="false">
      <c r="A179" s="26"/>
      <c r="B179" s="24"/>
      <c r="C179" s="24"/>
      <c r="D179" s="25"/>
      <c r="E179" s="17"/>
      <c r="F179" s="24"/>
      <c r="G179" s="24"/>
    </row>
    <row r="180" customFormat="false" ht="15" hidden="false" customHeight="false" outlineLevel="0" collapsed="false">
      <c r="A180" s="26"/>
      <c r="B180" s="24"/>
      <c r="C180" s="24"/>
      <c r="D180" s="25"/>
      <c r="E180" s="17"/>
      <c r="F180" s="24"/>
      <c r="G180" s="24"/>
    </row>
    <row r="181" customFormat="false" ht="15" hidden="false" customHeight="false" outlineLevel="0" collapsed="false">
      <c r="A181" s="26"/>
      <c r="B181" s="24"/>
      <c r="C181" s="24"/>
      <c r="D181" s="25"/>
      <c r="E181" s="17"/>
      <c r="F181" s="24"/>
      <c r="G181" s="24"/>
    </row>
    <row r="182" customFormat="false" ht="15" hidden="false" customHeight="false" outlineLevel="0" collapsed="false">
      <c r="A182" s="26"/>
      <c r="B182" s="24"/>
      <c r="C182" s="24"/>
      <c r="D182" s="25"/>
      <c r="E182" s="17"/>
      <c r="F182" s="24"/>
      <c r="G182" s="24"/>
    </row>
    <row r="183" customFormat="false" ht="15" hidden="false" customHeight="false" outlineLevel="0" collapsed="false">
      <c r="A183" s="26"/>
      <c r="B183" s="24"/>
      <c r="C183" s="24"/>
      <c r="D183" s="25"/>
      <c r="E183" s="17"/>
      <c r="F183" s="24"/>
      <c r="G183" s="24"/>
    </row>
    <row r="184" customFormat="false" ht="15" hidden="false" customHeight="false" outlineLevel="0" collapsed="false">
      <c r="A184" s="26"/>
      <c r="B184" s="24"/>
      <c r="C184" s="24"/>
      <c r="D184" s="25"/>
      <c r="E184" s="17"/>
      <c r="F184" s="24"/>
      <c r="G184" s="24"/>
    </row>
    <row r="185" customFormat="false" ht="15" hidden="false" customHeight="false" outlineLevel="0" collapsed="false">
      <c r="A185" s="26"/>
      <c r="B185" s="24"/>
      <c r="C185" s="24"/>
      <c r="D185" s="25"/>
      <c r="E185" s="17"/>
      <c r="F185" s="24"/>
      <c r="G185" s="24"/>
    </row>
    <row r="186" customFormat="false" ht="15" hidden="false" customHeight="false" outlineLevel="0" collapsed="false">
      <c r="A186" s="26"/>
      <c r="B186" s="24"/>
      <c r="C186" s="24"/>
      <c r="D186" s="25"/>
      <c r="E186" s="17"/>
      <c r="F186" s="24"/>
      <c r="G186" s="24"/>
    </row>
    <row r="187" customFormat="false" ht="15" hidden="false" customHeight="false" outlineLevel="0" collapsed="false">
      <c r="A187" s="26"/>
      <c r="B187" s="24"/>
      <c r="C187" s="24"/>
      <c r="D187" s="25"/>
      <c r="E187" s="17"/>
      <c r="F187" s="24"/>
      <c r="G187" s="24"/>
    </row>
    <row r="188" customFormat="false" ht="15" hidden="false" customHeight="false" outlineLevel="0" collapsed="false">
      <c r="A188" s="26"/>
      <c r="B188" s="24"/>
      <c r="C188" s="24"/>
      <c r="D188" s="25"/>
      <c r="E188" s="17"/>
      <c r="F188" s="24"/>
      <c r="G188" s="24"/>
    </row>
    <row r="189" customFormat="false" ht="15" hidden="false" customHeight="false" outlineLevel="0" collapsed="false">
      <c r="A189" s="26"/>
      <c r="B189" s="24"/>
      <c r="C189" s="24"/>
      <c r="D189" s="25"/>
      <c r="E189" s="17"/>
      <c r="F189" s="24"/>
      <c r="G189" s="24"/>
    </row>
    <row r="190" customFormat="false" ht="15" hidden="false" customHeight="false" outlineLevel="0" collapsed="false">
      <c r="A190" s="26"/>
      <c r="B190" s="24"/>
      <c r="C190" s="24"/>
      <c r="D190" s="25"/>
      <c r="E190" s="17"/>
      <c r="F190" s="24"/>
      <c r="G190" s="24"/>
    </row>
    <row r="191" customFormat="false" ht="15" hidden="false" customHeight="false" outlineLevel="0" collapsed="false">
      <c r="A191" s="26"/>
      <c r="B191" s="24"/>
      <c r="C191" s="24"/>
      <c r="D191" s="25"/>
      <c r="E191" s="17"/>
      <c r="F191" s="24"/>
      <c r="G191" s="24"/>
    </row>
    <row r="192" customFormat="false" ht="15" hidden="false" customHeight="false" outlineLevel="0" collapsed="false">
      <c r="A192" s="26"/>
      <c r="B192" s="24"/>
      <c r="C192" s="24"/>
      <c r="D192" s="25"/>
      <c r="E192" s="17"/>
      <c r="F192" s="24"/>
      <c r="G192" s="24"/>
    </row>
    <row r="193" customFormat="false" ht="15" hidden="false" customHeight="false" outlineLevel="0" collapsed="false">
      <c r="A193" s="26"/>
      <c r="B193" s="24"/>
      <c r="C193" s="24"/>
      <c r="D193" s="25"/>
      <c r="E193" s="17"/>
      <c r="F193" s="24"/>
      <c r="G193" s="24"/>
    </row>
    <row r="194" customFormat="false" ht="15" hidden="false" customHeight="false" outlineLevel="0" collapsed="false">
      <c r="A194" s="26"/>
      <c r="B194" s="24"/>
      <c r="C194" s="24"/>
      <c r="D194" s="25"/>
      <c r="E194" s="17"/>
      <c r="F194" s="24"/>
      <c r="G194" s="24"/>
    </row>
    <row r="195" customFormat="false" ht="15" hidden="false" customHeight="false" outlineLevel="0" collapsed="false">
      <c r="A195" s="26"/>
      <c r="B195" s="24"/>
      <c r="C195" s="24"/>
      <c r="D195" s="25"/>
      <c r="E195" s="17"/>
      <c r="F195" s="24"/>
      <c r="G195" s="24"/>
    </row>
    <row r="196" customFormat="false" ht="15" hidden="false" customHeight="false" outlineLevel="0" collapsed="false">
      <c r="A196" s="26"/>
      <c r="B196" s="24"/>
      <c r="C196" s="24"/>
      <c r="D196" s="25"/>
      <c r="E196" s="17"/>
      <c r="F196" s="24"/>
      <c r="G196" s="24"/>
    </row>
    <row r="197" customFormat="false" ht="15" hidden="false" customHeight="false" outlineLevel="0" collapsed="false">
      <c r="A197" s="26"/>
      <c r="B197" s="24"/>
      <c r="C197" s="24"/>
      <c r="D197" s="25"/>
      <c r="E197" s="17"/>
      <c r="F197" s="24"/>
      <c r="G197" s="24"/>
    </row>
    <row r="198" customFormat="false" ht="15" hidden="false" customHeight="false" outlineLevel="0" collapsed="false">
      <c r="A198" s="26"/>
      <c r="B198" s="24"/>
      <c r="C198" s="24"/>
      <c r="D198" s="25"/>
      <c r="E198" s="17"/>
      <c r="F198" s="24"/>
      <c r="G198" s="24"/>
    </row>
    <row r="199" customFormat="false" ht="15" hidden="false" customHeight="false" outlineLevel="0" collapsed="false">
      <c r="A199" s="26"/>
      <c r="B199" s="24"/>
      <c r="C199" s="24"/>
      <c r="D199" s="25"/>
      <c r="E199" s="17"/>
      <c r="F199" s="24"/>
      <c r="G199" s="24"/>
    </row>
    <row r="200" customFormat="false" ht="15" hidden="false" customHeight="false" outlineLevel="0" collapsed="false">
      <c r="A200" s="26"/>
      <c r="B200" s="24"/>
      <c r="C200" s="24"/>
      <c r="D200" s="25"/>
      <c r="E200" s="17"/>
      <c r="F200" s="24"/>
      <c r="G200" s="24"/>
    </row>
    <row r="201" customFormat="false" ht="15" hidden="false" customHeight="false" outlineLevel="0" collapsed="false">
      <c r="A201" s="26"/>
      <c r="B201" s="24"/>
      <c r="C201" s="24"/>
      <c r="D201" s="25"/>
      <c r="E201" s="17"/>
      <c r="F201" s="24"/>
      <c r="G201" s="24"/>
    </row>
    <row r="202" customFormat="false" ht="15" hidden="false" customHeight="false" outlineLevel="0" collapsed="false">
      <c r="A202" s="26"/>
      <c r="B202" s="24"/>
      <c r="C202" s="24"/>
      <c r="D202" s="25"/>
      <c r="E202" s="17"/>
      <c r="F202" s="24"/>
      <c r="G202" s="24"/>
    </row>
    <row r="203" customFormat="false" ht="15" hidden="false" customHeight="false" outlineLevel="0" collapsed="false">
      <c r="A203" s="26"/>
      <c r="B203" s="24"/>
      <c r="C203" s="24"/>
      <c r="D203" s="25"/>
      <c r="E203" s="17"/>
      <c r="F203" s="24"/>
      <c r="G203" s="24"/>
    </row>
    <row r="204" customFormat="false" ht="15" hidden="false" customHeight="false" outlineLevel="0" collapsed="false">
      <c r="A204" s="26"/>
      <c r="B204" s="24"/>
      <c r="C204" s="24"/>
      <c r="D204" s="25"/>
      <c r="E204" s="17"/>
      <c r="F204" s="24"/>
      <c r="G204" s="24"/>
    </row>
    <row r="205" customFormat="false" ht="15" hidden="false" customHeight="false" outlineLevel="0" collapsed="false">
      <c r="A205" s="26"/>
      <c r="B205" s="24"/>
      <c r="C205" s="24"/>
      <c r="D205" s="25"/>
      <c r="E205" s="17"/>
      <c r="F205" s="24"/>
      <c r="G205" s="24"/>
    </row>
  </sheetData>
  <conditionalFormatting sqref="F6:F205">
    <cfRule type="cellIs" priority="2" operator="equal" aboveAverage="0" equalAverage="0" bottom="0" percent="0" rank="0" text="" dxfId="0">
      <formula>"Não"</formula>
    </cfRule>
  </conditionalFormatting>
  <dataValidations count="5">
    <dataValidation allowBlank="true" error="Informe um valor numérico maior ou igual a zero." errorStyle="stop" errorTitle="Valor inválido" operator="greaterThanOrEqual" showDropDown="false" showErrorMessage="true" showInputMessage="false" sqref="E6:E205" type="decimal">
      <formula1>0</formula1>
      <formula2>0</formula2>
    </dataValidation>
    <dataValidation allowBlank="true" error="Informe uma data válida (dd/mm/aaaa)." errorStyle="stop" errorTitle="Data inválida" operator="between" showDropDown="false" showErrorMessage="true" showInputMessage="false" sqref="A6:A205" type="date">
      <formula1>DATE(1990,1,1)</formula1>
      <formula2>DATE(2100,12,31)</formula2>
    </dataValidation>
    <dataValidation allowBlank="true" error="Digite só números: CPF (11 dígitos) ou CNPJ (14 dígitos)." errorStyle="stop" errorTitle="CPF/CNPJ" operator="between" prompt="Somente números (11 ou 14 dígitos)." promptTitle="CPF/CNPJ" showDropDown="false" showErrorMessage="true" showInputMessage="true" sqref="D6:D205" type="custom">
      <formula1>OR(LEN(D6)=11,LEN(D6)=14)</formula1>
      <formula2>0</formula2>
    </dataValidation>
    <dataValidation allowBlank="true" error="Escolha uma opção da lista." errorStyle="stop" errorTitle="Valor inválido" operator="between" prompt="Escolha a categoria." promptTitle="Dica" showDropDown="false" showErrorMessage="true" showInputMessage="true" sqref="B6:B205" type="list">
      <formula1>Listas!$B$6:$B$11</formula1>
      <formula2>0</formula2>
    </dataValidation>
    <dataValidation allowBlank="true" error="Escolha uma opção da lista." errorStyle="stop" errorTitle="Valor inválido" operator="between" prompt="Você tem recibo/nota?" promptTitle="Dica" showDropDown="false" showErrorMessage="true" showInputMessage="true" sqref="F6:F205" type="list">
      <formula1>Listas!$D$6:$D$7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5" min="4" style="0" width="26"/>
    <col collapsed="false" customWidth="true" hidden="false" outlineLevel="0" max="6" min="6" style="0" width="18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100</v>
      </c>
    </row>
    <row r="3" customFormat="false" ht="15" hidden="false" customHeight="false" outlineLevel="0" collapsed="false">
      <c r="A3" s="11" t="s">
        <v>101</v>
      </c>
    </row>
    <row r="5" customFormat="false" ht="30" hidden="false" customHeight="true" outlineLevel="0" collapsed="false">
      <c r="A5" s="23" t="s">
        <v>102</v>
      </c>
      <c r="B5" s="23" t="s">
        <v>103</v>
      </c>
      <c r="C5" s="23" t="s">
        <v>104</v>
      </c>
      <c r="D5" s="23" t="s">
        <v>105</v>
      </c>
      <c r="E5" s="23" t="s">
        <v>106</v>
      </c>
      <c r="F5" s="23" t="s">
        <v>107</v>
      </c>
      <c r="G5" s="23" t="s">
        <v>87</v>
      </c>
    </row>
    <row r="6" customFormat="false" ht="15" hidden="false" customHeight="false" outlineLevel="0" collapsed="false">
      <c r="A6" s="24" t="s">
        <v>108</v>
      </c>
      <c r="B6" s="24" t="s">
        <v>109</v>
      </c>
      <c r="C6" s="26" t="n">
        <v>43997</v>
      </c>
      <c r="D6" s="17" t="n">
        <v>45000</v>
      </c>
      <c r="E6" s="17" t="n">
        <v>42000</v>
      </c>
      <c r="F6" s="19" t="n">
        <f aca="false">IF(AND(D6="",E6=""),"",N(E6)-N(D6))</f>
        <v>-3000</v>
      </c>
      <c r="G6" s="24" t="s">
        <v>90</v>
      </c>
    </row>
    <row r="7" customFormat="false" ht="15" hidden="false" customHeight="false" outlineLevel="0" collapsed="false">
      <c r="A7" s="24"/>
      <c r="B7" s="24"/>
      <c r="C7" s="26"/>
      <c r="D7" s="17"/>
      <c r="E7" s="17"/>
      <c r="F7" s="19" t="str">
        <f aca="false">IF(AND(D7="",E7=""),"",N(E7)-N(D7))</f>
        <v/>
      </c>
      <c r="G7" s="24"/>
    </row>
    <row r="8" customFormat="false" ht="15" hidden="false" customHeight="false" outlineLevel="0" collapsed="false">
      <c r="A8" s="24"/>
      <c r="B8" s="24"/>
      <c r="C8" s="26"/>
      <c r="D8" s="17"/>
      <c r="E8" s="17"/>
      <c r="F8" s="19" t="str">
        <f aca="false">IF(AND(D8="",E8=""),"",N(E8)-N(D8))</f>
        <v/>
      </c>
      <c r="G8" s="24"/>
    </row>
    <row r="9" customFormat="false" ht="15" hidden="false" customHeight="false" outlineLevel="0" collapsed="false">
      <c r="A9" s="24"/>
      <c r="B9" s="24"/>
      <c r="C9" s="26"/>
      <c r="D9" s="17"/>
      <c r="E9" s="17"/>
      <c r="F9" s="19" t="str">
        <f aca="false">IF(AND(D9="",E9=""),"",N(E9)-N(D9))</f>
        <v/>
      </c>
      <c r="G9" s="24"/>
    </row>
    <row r="10" customFormat="false" ht="15" hidden="false" customHeight="false" outlineLevel="0" collapsed="false">
      <c r="A10" s="24"/>
      <c r="B10" s="24"/>
      <c r="C10" s="26"/>
      <c r="D10" s="17"/>
      <c r="E10" s="17"/>
      <c r="F10" s="19" t="str">
        <f aca="false">IF(AND(D10="",E10=""),"",N(E10)-N(D10))</f>
        <v/>
      </c>
      <c r="G10" s="24"/>
    </row>
    <row r="11" customFormat="false" ht="15" hidden="false" customHeight="false" outlineLevel="0" collapsed="false">
      <c r="A11" s="24"/>
      <c r="B11" s="24"/>
      <c r="C11" s="26"/>
      <c r="D11" s="17"/>
      <c r="E11" s="17"/>
      <c r="F11" s="19" t="str">
        <f aca="false">IF(AND(D11="",E11=""),"",N(E11)-N(D11))</f>
        <v/>
      </c>
      <c r="G11" s="24"/>
    </row>
    <row r="12" customFormat="false" ht="15" hidden="false" customHeight="false" outlineLevel="0" collapsed="false">
      <c r="A12" s="24"/>
      <c r="B12" s="24"/>
      <c r="C12" s="26"/>
      <c r="D12" s="17"/>
      <c r="E12" s="17"/>
      <c r="F12" s="19" t="str">
        <f aca="false">IF(AND(D12="",E12=""),"",N(E12)-N(D12))</f>
        <v/>
      </c>
      <c r="G12" s="24"/>
    </row>
    <row r="13" customFormat="false" ht="15" hidden="false" customHeight="false" outlineLevel="0" collapsed="false">
      <c r="A13" s="24"/>
      <c r="B13" s="24"/>
      <c r="C13" s="26"/>
      <c r="D13" s="17"/>
      <c r="E13" s="17"/>
      <c r="F13" s="19" t="str">
        <f aca="false">IF(AND(D13="",E13=""),"",N(E13)-N(D13))</f>
        <v/>
      </c>
      <c r="G13" s="24"/>
    </row>
    <row r="14" customFormat="false" ht="15" hidden="false" customHeight="false" outlineLevel="0" collapsed="false">
      <c r="A14" s="24"/>
      <c r="B14" s="24"/>
      <c r="C14" s="26"/>
      <c r="D14" s="17"/>
      <c r="E14" s="17"/>
      <c r="F14" s="19" t="str">
        <f aca="false">IF(AND(D14="",E14=""),"",N(E14)-N(D14))</f>
        <v/>
      </c>
      <c r="G14" s="24"/>
    </row>
    <row r="15" customFormat="false" ht="15" hidden="false" customHeight="false" outlineLevel="0" collapsed="false">
      <c r="A15" s="24"/>
      <c r="B15" s="24"/>
      <c r="C15" s="26"/>
      <c r="D15" s="17"/>
      <c r="E15" s="17"/>
      <c r="F15" s="19" t="str">
        <f aca="false">IF(AND(D15="",E15=""),"",N(E15)-N(D15))</f>
        <v/>
      </c>
      <c r="G15" s="24"/>
    </row>
    <row r="16" customFormat="false" ht="15" hidden="false" customHeight="false" outlineLevel="0" collapsed="false">
      <c r="A16" s="24"/>
      <c r="B16" s="24"/>
      <c r="C16" s="26"/>
      <c r="D16" s="17"/>
      <c r="E16" s="17"/>
      <c r="F16" s="19" t="str">
        <f aca="false">IF(AND(D16="",E16=""),"",N(E16)-N(D16))</f>
        <v/>
      </c>
      <c r="G16" s="24"/>
    </row>
    <row r="17" customFormat="false" ht="15" hidden="false" customHeight="false" outlineLevel="0" collapsed="false">
      <c r="A17" s="24"/>
      <c r="B17" s="24"/>
      <c r="C17" s="26"/>
      <c r="D17" s="17"/>
      <c r="E17" s="17"/>
      <c r="F17" s="19" t="str">
        <f aca="false">IF(AND(D17="",E17=""),"",N(E17)-N(D17))</f>
        <v/>
      </c>
      <c r="G17" s="24"/>
    </row>
    <row r="18" customFormat="false" ht="15" hidden="false" customHeight="false" outlineLevel="0" collapsed="false">
      <c r="A18" s="24"/>
      <c r="B18" s="24"/>
      <c r="C18" s="26"/>
      <c r="D18" s="17"/>
      <c r="E18" s="17"/>
      <c r="F18" s="19" t="str">
        <f aca="false">IF(AND(D18="",E18=""),"",N(E18)-N(D18))</f>
        <v/>
      </c>
      <c r="G18" s="24"/>
    </row>
    <row r="19" customFormat="false" ht="15" hidden="false" customHeight="false" outlineLevel="0" collapsed="false">
      <c r="A19" s="24"/>
      <c r="B19" s="24"/>
      <c r="C19" s="26"/>
      <c r="D19" s="17"/>
      <c r="E19" s="17"/>
      <c r="F19" s="19" t="str">
        <f aca="false">IF(AND(D19="",E19=""),"",N(E19)-N(D19))</f>
        <v/>
      </c>
      <c r="G19" s="24"/>
    </row>
    <row r="20" customFormat="false" ht="15" hidden="false" customHeight="false" outlineLevel="0" collapsed="false">
      <c r="A20" s="24"/>
      <c r="B20" s="24"/>
      <c r="C20" s="26"/>
      <c r="D20" s="17"/>
      <c r="E20" s="17"/>
      <c r="F20" s="19" t="str">
        <f aca="false">IF(AND(D20="",E20=""),"",N(E20)-N(D20))</f>
        <v/>
      </c>
      <c r="G20" s="24"/>
    </row>
    <row r="21" customFormat="false" ht="15" hidden="false" customHeight="false" outlineLevel="0" collapsed="false">
      <c r="A21" s="24"/>
      <c r="B21" s="24"/>
      <c r="C21" s="26"/>
      <c r="D21" s="17"/>
      <c r="E21" s="17"/>
      <c r="F21" s="19" t="str">
        <f aca="false">IF(AND(D21="",E21=""),"",N(E21)-N(D21))</f>
        <v/>
      </c>
      <c r="G21" s="24"/>
    </row>
    <row r="22" customFormat="false" ht="15" hidden="false" customHeight="false" outlineLevel="0" collapsed="false">
      <c r="A22" s="24"/>
      <c r="B22" s="24"/>
      <c r="C22" s="26"/>
      <c r="D22" s="17"/>
      <c r="E22" s="17"/>
      <c r="F22" s="19" t="str">
        <f aca="false">IF(AND(D22="",E22=""),"",N(E22)-N(D22))</f>
        <v/>
      </c>
      <c r="G22" s="24"/>
    </row>
    <row r="23" customFormat="false" ht="15" hidden="false" customHeight="false" outlineLevel="0" collapsed="false">
      <c r="A23" s="24"/>
      <c r="B23" s="24"/>
      <c r="C23" s="26"/>
      <c r="D23" s="17"/>
      <c r="E23" s="17"/>
      <c r="F23" s="19" t="str">
        <f aca="false">IF(AND(D23="",E23=""),"",N(E23)-N(D23))</f>
        <v/>
      </c>
      <c r="G23" s="24"/>
    </row>
    <row r="24" customFormat="false" ht="15" hidden="false" customHeight="false" outlineLevel="0" collapsed="false">
      <c r="A24" s="24"/>
      <c r="B24" s="24"/>
      <c r="C24" s="26"/>
      <c r="D24" s="17"/>
      <c r="E24" s="17"/>
      <c r="F24" s="19" t="str">
        <f aca="false">IF(AND(D24="",E24=""),"",N(E24)-N(D24))</f>
        <v/>
      </c>
      <c r="G24" s="24"/>
    </row>
    <row r="25" customFormat="false" ht="15" hidden="false" customHeight="false" outlineLevel="0" collapsed="false">
      <c r="A25" s="24"/>
      <c r="B25" s="24"/>
      <c r="C25" s="26"/>
      <c r="D25" s="17"/>
      <c r="E25" s="17"/>
      <c r="F25" s="19" t="str">
        <f aca="false">IF(AND(D25="",E25=""),"",N(E25)-N(D25))</f>
        <v/>
      </c>
      <c r="G25" s="24"/>
    </row>
    <row r="26" customFormat="false" ht="15" hidden="false" customHeight="false" outlineLevel="0" collapsed="false">
      <c r="A26" s="24"/>
      <c r="B26" s="24"/>
      <c r="C26" s="26"/>
      <c r="D26" s="17"/>
      <c r="E26" s="17"/>
      <c r="F26" s="19" t="str">
        <f aca="false">IF(AND(D26="",E26=""),"",N(E26)-N(D26))</f>
        <v/>
      </c>
      <c r="G26" s="24"/>
    </row>
    <row r="27" customFormat="false" ht="15" hidden="false" customHeight="false" outlineLevel="0" collapsed="false">
      <c r="A27" s="24"/>
      <c r="B27" s="24"/>
      <c r="C27" s="26"/>
      <c r="D27" s="17"/>
      <c r="E27" s="17"/>
      <c r="F27" s="19" t="str">
        <f aca="false">IF(AND(D27="",E27=""),"",N(E27)-N(D27))</f>
        <v/>
      </c>
      <c r="G27" s="24"/>
    </row>
    <row r="28" customFormat="false" ht="15" hidden="false" customHeight="false" outlineLevel="0" collapsed="false">
      <c r="A28" s="24"/>
      <c r="B28" s="24"/>
      <c r="C28" s="26"/>
      <c r="D28" s="17"/>
      <c r="E28" s="17"/>
      <c r="F28" s="19" t="str">
        <f aca="false">IF(AND(D28="",E28=""),"",N(E28)-N(D28))</f>
        <v/>
      </c>
      <c r="G28" s="24"/>
    </row>
    <row r="29" customFormat="false" ht="15" hidden="false" customHeight="false" outlineLevel="0" collapsed="false">
      <c r="A29" s="24"/>
      <c r="B29" s="24"/>
      <c r="C29" s="26"/>
      <c r="D29" s="17"/>
      <c r="E29" s="17"/>
      <c r="F29" s="19" t="str">
        <f aca="false">IF(AND(D29="",E29=""),"",N(E29)-N(D29))</f>
        <v/>
      </c>
      <c r="G29" s="24"/>
    </row>
    <row r="30" customFormat="false" ht="15" hidden="false" customHeight="false" outlineLevel="0" collapsed="false">
      <c r="A30" s="24"/>
      <c r="B30" s="24"/>
      <c r="C30" s="26"/>
      <c r="D30" s="17"/>
      <c r="E30" s="17"/>
      <c r="F30" s="19" t="str">
        <f aca="false">IF(AND(D30="",E30=""),"",N(E30)-N(D30))</f>
        <v/>
      </c>
      <c r="G30" s="24"/>
    </row>
    <row r="31" customFormat="false" ht="15" hidden="false" customHeight="false" outlineLevel="0" collapsed="false">
      <c r="A31" s="24"/>
      <c r="B31" s="24"/>
      <c r="C31" s="26"/>
      <c r="D31" s="17"/>
      <c r="E31" s="17"/>
      <c r="F31" s="19" t="str">
        <f aca="false">IF(AND(D31="",E31=""),"",N(E31)-N(D31))</f>
        <v/>
      </c>
      <c r="G31" s="24"/>
    </row>
    <row r="32" customFormat="false" ht="15" hidden="false" customHeight="false" outlineLevel="0" collapsed="false">
      <c r="A32" s="24"/>
      <c r="B32" s="24"/>
      <c r="C32" s="26"/>
      <c r="D32" s="17"/>
      <c r="E32" s="17"/>
      <c r="F32" s="19" t="str">
        <f aca="false">IF(AND(D32="",E32=""),"",N(E32)-N(D32))</f>
        <v/>
      </c>
      <c r="G32" s="24"/>
    </row>
    <row r="33" customFormat="false" ht="15" hidden="false" customHeight="false" outlineLevel="0" collapsed="false">
      <c r="A33" s="24"/>
      <c r="B33" s="24"/>
      <c r="C33" s="26"/>
      <c r="D33" s="17"/>
      <c r="E33" s="17"/>
      <c r="F33" s="19" t="str">
        <f aca="false">IF(AND(D33="",E33=""),"",N(E33)-N(D33))</f>
        <v/>
      </c>
      <c r="G33" s="24"/>
    </row>
    <row r="34" customFormat="false" ht="15" hidden="false" customHeight="false" outlineLevel="0" collapsed="false">
      <c r="A34" s="24"/>
      <c r="B34" s="24"/>
      <c r="C34" s="26"/>
      <c r="D34" s="17"/>
      <c r="E34" s="17"/>
      <c r="F34" s="19" t="str">
        <f aca="false">IF(AND(D34="",E34=""),"",N(E34)-N(D34))</f>
        <v/>
      </c>
      <c r="G34" s="24"/>
    </row>
    <row r="35" customFormat="false" ht="15" hidden="false" customHeight="false" outlineLevel="0" collapsed="false">
      <c r="A35" s="24"/>
      <c r="B35" s="24"/>
      <c r="C35" s="26"/>
      <c r="D35" s="17"/>
      <c r="E35" s="17"/>
      <c r="F35" s="19" t="str">
        <f aca="false">IF(AND(D35="",E35=""),"",N(E35)-N(D35))</f>
        <v/>
      </c>
      <c r="G35" s="24"/>
    </row>
    <row r="36" customFormat="false" ht="15" hidden="false" customHeight="false" outlineLevel="0" collapsed="false">
      <c r="A36" s="24"/>
      <c r="B36" s="24"/>
      <c r="C36" s="26"/>
      <c r="D36" s="17"/>
      <c r="E36" s="17"/>
      <c r="F36" s="19" t="str">
        <f aca="false">IF(AND(D36="",E36=""),"",N(E36)-N(D36))</f>
        <v/>
      </c>
      <c r="G36" s="24"/>
    </row>
    <row r="37" customFormat="false" ht="15" hidden="false" customHeight="false" outlineLevel="0" collapsed="false">
      <c r="A37" s="24"/>
      <c r="B37" s="24"/>
      <c r="C37" s="26"/>
      <c r="D37" s="17"/>
      <c r="E37" s="17"/>
      <c r="F37" s="19" t="str">
        <f aca="false">IF(AND(D37="",E37=""),"",N(E37)-N(D37))</f>
        <v/>
      </c>
      <c r="G37" s="24"/>
    </row>
    <row r="38" customFormat="false" ht="15" hidden="false" customHeight="false" outlineLevel="0" collapsed="false">
      <c r="A38" s="24"/>
      <c r="B38" s="24"/>
      <c r="C38" s="26"/>
      <c r="D38" s="17"/>
      <c r="E38" s="17"/>
      <c r="F38" s="19" t="str">
        <f aca="false">IF(AND(D38="",E38=""),"",N(E38)-N(D38))</f>
        <v/>
      </c>
      <c r="G38" s="24"/>
    </row>
    <row r="39" customFormat="false" ht="15" hidden="false" customHeight="false" outlineLevel="0" collapsed="false">
      <c r="A39" s="24"/>
      <c r="B39" s="24"/>
      <c r="C39" s="26"/>
      <c r="D39" s="17"/>
      <c r="E39" s="17"/>
      <c r="F39" s="19" t="str">
        <f aca="false">IF(AND(D39="",E39=""),"",N(E39)-N(D39))</f>
        <v/>
      </c>
      <c r="G39" s="24"/>
    </row>
    <row r="40" customFormat="false" ht="15" hidden="false" customHeight="false" outlineLevel="0" collapsed="false">
      <c r="A40" s="24"/>
      <c r="B40" s="24"/>
      <c r="C40" s="26"/>
      <c r="D40" s="17"/>
      <c r="E40" s="17"/>
      <c r="F40" s="19" t="str">
        <f aca="false">IF(AND(D40="",E40=""),"",N(E40)-N(D40))</f>
        <v/>
      </c>
      <c r="G40" s="24"/>
    </row>
    <row r="41" customFormat="false" ht="15" hidden="false" customHeight="false" outlineLevel="0" collapsed="false">
      <c r="A41" s="24"/>
      <c r="B41" s="24"/>
      <c r="C41" s="26"/>
      <c r="D41" s="17"/>
      <c r="E41" s="17"/>
      <c r="F41" s="19" t="str">
        <f aca="false">IF(AND(D41="",E41=""),"",N(E41)-N(D41))</f>
        <v/>
      </c>
      <c r="G41" s="24"/>
    </row>
    <row r="42" customFormat="false" ht="15" hidden="false" customHeight="false" outlineLevel="0" collapsed="false">
      <c r="A42" s="24"/>
      <c r="B42" s="24"/>
      <c r="C42" s="26"/>
      <c r="D42" s="17"/>
      <c r="E42" s="17"/>
      <c r="F42" s="19" t="str">
        <f aca="false">IF(AND(D42="",E42=""),"",N(E42)-N(D42))</f>
        <v/>
      </c>
      <c r="G42" s="24"/>
    </row>
    <row r="43" customFormat="false" ht="15" hidden="false" customHeight="false" outlineLevel="0" collapsed="false">
      <c r="A43" s="24"/>
      <c r="B43" s="24"/>
      <c r="C43" s="26"/>
      <c r="D43" s="17"/>
      <c r="E43" s="17"/>
      <c r="F43" s="19" t="str">
        <f aca="false">IF(AND(D43="",E43=""),"",N(E43)-N(D43))</f>
        <v/>
      </c>
      <c r="G43" s="24"/>
    </row>
    <row r="44" customFormat="false" ht="15" hidden="false" customHeight="false" outlineLevel="0" collapsed="false">
      <c r="A44" s="24"/>
      <c r="B44" s="24"/>
      <c r="C44" s="26"/>
      <c r="D44" s="17"/>
      <c r="E44" s="17"/>
      <c r="F44" s="19" t="str">
        <f aca="false">IF(AND(D44="",E44=""),"",N(E44)-N(D44))</f>
        <v/>
      </c>
      <c r="G44" s="24"/>
    </row>
    <row r="45" customFormat="false" ht="15" hidden="false" customHeight="false" outlineLevel="0" collapsed="false">
      <c r="A45" s="24"/>
      <c r="B45" s="24"/>
      <c r="C45" s="26"/>
      <c r="D45" s="17"/>
      <c r="E45" s="17"/>
      <c r="F45" s="19" t="str">
        <f aca="false">IF(AND(D45="",E45=""),"",N(E45)-N(D45))</f>
        <v/>
      </c>
      <c r="G45" s="24"/>
    </row>
    <row r="46" customFormat="false" ht="15" hidden="false" customHeight="false" outlineLevel="0" collapsed="false">
      <c r="A46" s="24"/>
      <c r="B46" s="24"/>
      <c r="C46" s="26"/>
      <c r="D46" s="17"/>
      <c r="E46" s="17"/>
      <c r="F46" s="19" t="str">
        <f aca="false">IF(AND(D46="",E46=""),"",N(E46)-N(D46))</f>
        <v/>
      </c>
      <c r="G46" s="24"/>
    </row>
    <row r="47" customFormat="false" ht="15" hidden="false" customHeight="false" outlineLevel="0" collapsed="false">
      <c r="A47" s="24"/>
      <c r="B47" s="24"/>
      <c r="C47" s="26"/>
      <c r="D47" s="17"/>
      <c r="E47" s="17"/>
      <c r="F47" s="19" t="str">
        <f aca="false">IF(AND(D47="",E47=""),"",N(E47)-N(D47))</f>
        <v/>
      </c>
      <c r="G47" s="24"/>
    </row>
    <row r="48" customFormat="false" ht="15" hidden="false" customHeight="false" outlineLevel="0" collapsed="false">
      <c r="A48" s="24"/>
      <c r="B48" s="24"/>
      <c r="C48" s="26"/>
      <c r="D48" s="17"/>
      <c r="E48" s="17"/>
      <c r="F48" s="19" t="str">
        <f aca="false">IF(AND(D48="",E48=""),"",N(E48)-N(D48))</f>
        <v/>
      </c>
      <c r="G48" s="24"/>
    </row>
    <row r="49" customFormat="false" ht="15" hidden="false" customHeight="false" outlineLevel="0" collapsed="false">
      <c r="A49" s="24"/>
      <c r="B49" s="24"/>
      <c r="C49" s="26"/>
      <c r="D49" s="17"/>
      <c r="E49" s="17"/>
      <c r="F49" s="19" t="str">
        <f aca="false">IF(AND(D49="",E49=""),"",N(E49)-N(D49))</f>
        <v/>
      </c>
      <c r="G49" s="24"/>
    </row>
    <row r="50" customFormat="false" ht="15" hidden="false" customHeight="false" outlineLevel="0" collapsed="false">
      <c r="A50" s="24"/>
      <c r="B50" s="24"/>
      <c r="C50" s="26"/>
      <c r="D50" s="17"/>
      <c r="E50" s="17"/>
      <c r="F50" s="19" t="str">
        <f aca="false">IF(AND(D50="",E50=""),"",N(E50)-N(D50))</f>
        <v/>
      </c>
      <c r="G50" s="24"/>
    </row>
    <row r="51" customFormat="false" ht="15" hidden="false" customHeight="false" outlineLevel="0" collapsed="false">
      <c r="A51" s="24"/>
      <c r="B51" s="24"/>
      <c r="C51" s="26"/>
      <c r="D51" s="17"/>
      <c r="E51" s="17"/>
      <c r="F51" s="19" t="str">
        <f aca="false">IF(AND(D51="",E51=""),"",N(E51)-N(D51))</f>
        <v/>
      </c>
      <c r="G51" s="24"/>
    </row>
    <row r="52" customFormat="false" ht="15" hidden="false" customHeight="false" outlineLevel="0" collapsed="false">
      <c r="A52" s="24"/>
      <c r="B52" s="24"/>
      <c r="C52" s="26"/>
      <c r="D52" s="17"/>
      <c r="E52" s="17"/>
      <c r="F52" s="19" t="str">
        <f aca="false">IF(AND(D52="",E52=""),"",N(E52)-N(D52))</f>
        <v/>
      </c>
      <c r="G52" s="24"/>
    </row>
    <row r="53" customFormat="false" ht="15" hidden="false" customHeight="false" outlineLevel="0" collapsed="false">
      <c r="A53" s="24"/>
      <c r="B53" s="24"/>
      <c r="C53" s="26"/>
      <c r="D53" s="17"/>
      <c r="E53" s="17"/>
      <c r="F53" s="19" t="str">
        <f aca="false">IF(AND(D53="",E53=""),"",N(E53)-N(D53))</f>
        <v/>
      </c>
      <c r="G53" s="24"/>
    </row>
    <row r="54" customFormat="false" ht="15" hidden="false" customHeight="false" outlineLevel="0" collapsed="false">
      <c r="A54" s="24"/>
      <c r="B54" s="24"/>
      <c r="C54" s="26"/>
      <c r="D54" s="17"/>
      <c r="E54" s="17"/>
      <c r="F54" s="19" t="str">
        <f aca="false">IF(AND(D54="",E54=""),"",N(E54)-N(D54))</f>
        <v/>
      </c>
      <c r="G54" s="24"/>
    </row>
    <row r="55" customFormat="false" ht="15" hidden="false" customHeight="false" outlineLevel="0" collapsed="false">
      <c r="A55" s="24"/>
      <c r="B55" s="24"/>
      <c r="C55" s="26"/>
      <c r="D55" s="17"/>
      <c r="E55" s="17"/>
      <c r="F55" s="19" t="str">
        <f aca="false">IF(AND(D55="",E55=""),"",N(E55)-N(D55))</f>
        <v/>
      </c>
      <c r="G55" s="24"/>
    </row>
    <row r="56" customFormat="false" ht="15" hidden="false" customHeight="false" outlineLevel="0" collapsed="false">
      <c r="A56" s="24"/>
      <c r="B56" s="24"/>
      <c r="C56" s="26"/>
      <c r="D56" s="17"/>
      <c r="E56" s="17"/>
      <c r="F56" s="19" t="str">
        <f aca="false">IF(AND(D56="",E56=""),"",N(E56)-N(D56))</f>
        <v/>
      </c>
      <c r="G56" s="24"/>
    </row>
    <row r="57" customFormat="false" ht="15" hidden="false" customHeight="false" outlineLevel="0" collapsed="false">
      <c r="A57" s="24"/>
      <c r="B57" s="24"/>
      <c r="C57" s="26"/>
      <c r="D57" s="17"/>
      <c r="E57" s="17"/>
      <c r="F57" s="19" t="str">
        <f aca="false">IF(AND(D57="",E57=""),"",N(E57)-N(D57))</f>
        <v/>
      </c>
      <c r="G57" s="24"/>
    </row>
    <row r="58" customFormat="false" ht="15" hidden="false" customHeight="false" outlineLevel="0" collapsed="false">
      <c r="A58" s="24"/>
      <c r="B58" s="24"/>
      <c r="C58" s="26"/>
      <c r="D58" s="17"/>
      <c r="E58" s="17"/>
      <c r="F58" s="19" t="str">
        <f aca="false">IF(AND(D58="",E58=""),"",N(E58)-N(D58))</f>
        <v/>
      </c>
      <c r="G58" s="24"/>
    </row>
    <row r="59" customFormat="false" ht="15" hidden="false" customHeight="false" outlineLevel="0" collapsed="false">
      <c r="A59" s="24"/>
      <c r="B59" s="24"/>
      <c r="C59" s="26"/>
      <c r="D59" s="17"/>
      <c r="E59" s="17"/>
      <c r="F59" s="19" t="str">
        <f aca="false">IF(AND(D59="",E59=""),"",N(E59)-N(D59))</f>
        <v/>
      </c>
      <c r="G59" s="24"/>
    </row>
    <row r="60" customFormat="false" ht="15" hidden="false" customHeight="false" outlineLevel="0" collapsed="false">
      <c r="A60" s="24"/>
      <c r="B60" s="24"/>
      <c r="C60" s="26"/>
      <c r="D60" s="17"/>
      <c r="E60" s="17"/>
      <c r="F60" s="19" t="str">
        <f aca="false">IF(AND(D60="",E60=""),"",N(E60)-N(D60))</f>
        <v/>
      </c>
      <c r="G60" s="24"/>
    </row>
    <row r="61" customFormat="false" ht="15" hidden="false" customHeight="false" outlineLevel="0" collapsed="false">
      <c r="A61" s="24"/>
      <c r="B61" s="24"/>
      <c r="C61" s="26"/>
      <c r="D61" s="17"/>
      <c r="E61" s="17"/>
      <c r="F61" s="19" t="str">
        <f aca="false">IF(AND(D61="",E61=""),"",N(E61)-N(D61))</f>
        <v/>
      </c>
      <c r="G61" s="24"/>
    </row>
    <row r="62" customFormat="false" ht="15" hidden="false" customHeight="false" outlineLevel="0" collapsed="false">
      <c r="A62" s="24"/>
      <c r="B62" s="24"/>
      <c r="C62" s="26"/>
      <c r="D62" s="17"/>
      <c r="E62" s="17"/>
      <c r="F62" s="19" t="str">
        <f aca="false">IF(AND(D62="",E62=""),"",N(E62)-N(D62))</f>
        <v/>
      </c>
      <c r="G62" s="24"/>
    </row>
    <row r="63" customFormat="false" ht="15" hidden="false" customHeight="false" outlineLevel="0" collapsed="false">
      <c r="A63" s="24"/>
      <c r="B63" s="24"/>
      <c r="C63" s="26"/>
      <c r="D63" s="17"/>
      <c r="E63" s="17"/>
      <c r="F63" s="19" t="str">
        <f aca="false">IF(AND(D63="",E63=""),"",N(E63)-N(D63))</f>
        <v/>
      </c>
      <c r="G63" s="24"/>
    </row>
    <row r="64" customFormat="false" ht="15" hidden="false" customHeight="false" outlineLevel="0" collapsed="false">
      <c r="A64" s="24"/>
      <c r="B64" s="24"/>
      <c r="C64" s="26"/>
      <c r="D64" s="17"/>
      <c r="E64" s="17"/>
      <c r="F64" s="19" t="str">
        <f aca="false">IF(AND(D64="",E64=""),"",N(E64)-N(D64))</f>
        <v/>
      </c>
      <c r="G64" s="24"/>
    </row>
    <row r="65" customFormat="false" ht="15" hidden="false" customHeight="false" outlineLevel="0" collapsed="false">
      <c r="A65" s="24"/>
      <c r="B65" s="24"/>
      <c r="C65" s="26"/>
      <c r="D65" s="17"/>
      <c r="E65" s="17"/>
      <c r="F65" s="19" t="str">
        <f aca="false">IF(AND(D65="",E65=""),"",N(E65)-N(D65))</f>
        <v/>
      </c>
      <c r="G65" s="24"/>
    </row>
    <row r="66" customFormat="false" ht="15" hidden="false" customHeight="false" outlineLevel="0" collapsed="false">
      <c r="A66" s="24"/>
      <c r="B66" s="24"/>
      <c r="C66" s="26"/>
      <c r="D66" s="17"/>
      <c r="E66" s="17"/>
      <c r="F66" s="19" t="str">
        <f aca="false">IF(AND(D66="",E66=""),"",N(E66)-N(D66))</f>
        <v/>
      </c>
      <c r="G66" s="24"/>
    </row>
    <row r="67" customFormat="false" ht="15" hidden="false" customHeight="false" outlineLevel="0" collapsed="false">
      <c r="A67" s="24"/>
      <c r="B67" s="24"/>
      <c r="C67" s="26"/>
      <c r="D67" s="17"/>
      <c r="E67" s="17"/>
      <c r="F67" s="19" t="str">
        <f aca="false">IF(AND(D67="",E67=""),"",N(E67)-N(D67))</f>
        <v/>
      </c>
      <c r="G67" s="24"/>
    </row>
    <row r="68" customFormat="false" ht="15" hidden="false" customHeight="false" outlineLevel="0" collapsed="false">
      <c r="A68" s="24"/>
      <c r="B68" s="24"/>
      <c r="C68" s="26"/>
      <c r="D68" s="17"/>
      <c r="E68" s="17"/>
      <c r="F68" s="19" t="str">
        <f aca="false">IF(AND(D68="",E68=""),"",N(E68)-N(D68))</f>
        <v/>
      </c>
      <c r="G68" s="24"/>
    </row>
    <row r="69" customFormat="false" ht="15" hidden="false" customHeight="false" outlineLevel="0" collapsed="false">
      <c r="A69" s="24"/>
      <c r="B69" s="24"/>
      <c r="C69" s="26"/>
      <c r="D69" s="17"/>
      <c r="E69" s="17"/>
      <c r="F69" s="19" t="str">
        <f aca="false">IF(AND(D69="",E69=""),"",N(E69)-N(D69))</f>
        <v/>
      </c>
      <c r="G69" s="24"/>
    </row>
    <row r="70" customFormat="false" ht="15" hidden="false" customHeight="false" outlineLevel="0" collapsed="false">
      <c r="A70" s="24"/>
      <c r="B70" s="24"/>
      <c r="C70" s="26"/>
      <c r="D70" s="17"/>
      <c r="E70" s="17"/>
      <c r="F70" s="19" t="str">
        <f aca="false">IF(AND(D70="",E70=""),"",N(E70)-N(D70))</f>
        <v/>
      </c>
      <c r="G70" s="24"/>
    </row>
    <row r="71" customFormat="false" ht="15" hidden="false" customHeight="false" outlineLevel="0" collapsed="false">
      <c r="A71" s="24"/>
      <c r="B71" s="24"/>
      <c r="C71" s="26"/>
      <c r="D71" s="17"/>
      <c r="E71" s="17"/>
      <c r="F71" s="19" t="str">
        <f aca="false">IF(AND(D71="",E71=""),"",N(E71)-N(D71))</f>
        <v/>
      </c>
      <c r="G71" s="24"/>
    </row>
    <row r="72" customFormat="false" ht="15" hidden="false" customHeight="false" outlineLevel="0" collapsed="false">
      <c r="A72" s="24"/>
      <c r="B72" s="24"/>
      <c r="C72" s="26"/>
      <c r="D72" s="17"/>
      <c r="E72" s="17"/>
      <c r="F72" s="19" t="str">
        <f aca="false">IF(AND(D72="",E72=""),"",N(E72)-N(D72))</f>
        <v/>
      </c>
      <c r="G72" s="24"/>
    </row>
    <row r="73" customFormat="false" ht="15" hidden="false" customHeight="false" outlineLevel="0" collapsed="false">
      <c r="A73" s="24"/>
      <c r="B73" s="24"/>
      <c r="C73" s="26"/>
      <c r="D73" s="17"/>
      <c r="E73" s="17"/>
      <c r="F73" s="19" t="str">
        <f aca="false">IF(AND(D73="",E73=""),"",N(E73)-N(D73))</f>
        <v/>
      </c>
      <c r="G73" s="24"/>
    </row>
    <row r="74" customFormat="false" ht="15" hidden="false" customHeight="false" outlineLevel="0" collapsed="false">
      <c r="A74" s="24"/>
      <c r="B74" s="24"/>
      <c r="C74" s="26"/>
      <c r="D74" s="17"/>
      <c r="E74" s="17"/>
      <c r="F74" s="19" t="str">
        <f aca="false">IF(AND(D74="",E74=""),"",N(E74)-N(D74))</f>
        <v/>
      </c>
      <c r="G74" s="24"/>
    </row>
    <row r="75" customFormat="false" ht="15" hidden="false" customHeight="false" outlineLevel="0" collapsed="false">
      <c r="A75" s="24"/>
      <c r="B75" s="24"/>
      <c r="C75" s="26"/>
      <c r="D75" s="17"/>
      <c r="E75" s="17"/>
      <c r="F75" s="19" t="str">
        <f aca="false">IF(AND(D75="",E75=""),"",N(E75)-N(D75))</f>
        <v/>
      </c>
      <c r="G75" s="24"/>
    </row>
    <row r="76" customFormat="false" ht="15" hidden="false" customHeight="false" outlineLevel="0" collapsed="false">
      <c r="A76" s="24"/>
      <c r="B76" s="24"/>
      <c r="C76" s="26"/>
      <c r="D76" s="17"/>
      <c r="E76" s="17"/>
      <c r="F76" s="19" t="str">
        <f aca="false">IF(AND(D76="",E76=""),"",N(E76)-N(D76))</f>
        <v/>
      </c>
      <c r="G76" s="24"/>
    </row>
    <row r="77" customFormat="false" ht="15" hidden="false" customHeight="false" outlineLevel="0" collapsed="false">
      <c r="A77" s="24"/>
      <c r="B77" s="24"/>
      <c r="C77" s="26"/>
      <c r="D77" s="17"/>
      <c r="E77" s="17"/>
      <c r="F77" s="19" t="str">
        <f aca="false">IF(AND(D77="",E77=""),"",N(E77)-N(D77))</f>
        <v/>
      </c>
      <c r="G77" s="24"/>
    </row>
    <row r="78" customFormat="false" ht="15" hidden="false" customHeight="false" outlineLevel="0" collapsed="false">
      <c r="A78" s="24"/>
      <c r="B78" s="24"/>
      <c r="C78" s="26"/>
      <c r="D78" s="17"/>
      <c r="E78" s="17"/>
      <c r="F78" s="19" t="str">
        <f aca="false">IF(AND(D78="",E78=""),"",N(E78)-N(D78))</f>
        <v/>
      </c>
      <c r="G78" s="24"/>
    </row>
    <row r="79" customFormat="false" ht="15" hidden="false" customHeight="false" outlineLevel="0" collapsed="false">
      <c r="A79" s="24"/>
      <c r="B79" s="24"/>
      <c r="C79" s="26"/>
      <c r="D79" s="17"/>
      <c r="E79" s="17"/>
      <c r="F79" s="19" t="str">
        <f aca="false">IF(AND(D79="",E79=""),"",N(E79)-N(D79))</f>
        <v/>
      </c>
      <c r="G79" s="24"/>
    </row>
    <row r="80" customFormat="false" ht="15" hidden="false" customHeight="false" outlineLevel="0" collapsed="false">
      <c r="A80" s="24"/>
      <c r="B80" s="24"/>
      <c r="C80" s="26"/>
      <c r="D80" s="17"/>
      <c r="E80" s="17"/>
      <c r="F80" s="19" t="str">
        <f aca="false">IF(AND(D80="",E80=""),"",N(E80)-N(D80))</f>
        <v/>
      </c>
      <c r="G80" s="24"/>
    </row>
    <row r="81" customFormat="false" ht="15" hidden="false" customHeight="false" outlineLevel="0" collapsed="false">
      <c r="A81" s="24"/>
      <c r="B81" s="24"/>
      <c r="C81" s="26"/>
      <c r="D81" s="17"/>
      <c r="E81" s="17"/>
      <c r="F81" s="19" t="str">
        <f aca="false">IF(AND(D81="",E81=""),"",N(E81)-N(D81))</f>
        <v/>
      </c>
      <c r="G81" s="24"/>
    </row>
    <row r="82" customFormat="false" ht="15" hidden="false" customHeight="false" outlineLevel="0" collapsed="false">
      <c r="A82" s="24"/>
      <c r="B82" s="24"/>
      <c r="C82" s="26"/>
      <c r="D82" s="17"/>
      <c r="E82" s="17"/>
      <c r="F82" s="19" t="str">
        <f aca="false">IF(AND(D82="",E82=""),"",N(E82)-N(D82))</f>
        <v/>
      </c>
      <c r="G82" s="24"/>
    </row>
    <row r="83" customFormat="false" ht="15" hidden="false" customHeight="false" outlineLevel="0" collapsed="false">
      <c r="A83" s="24"/>
      <c r="B83" s="24"/>
      <c r="C83" s="26"/>
      <c r="D83" s="17"/>
      <c r="E83" s="17"/>
      <c r="F83" s="19" t="str">
        <f aca="false">IF(AND(D83="",E83=""),"",N(E83)-N(D83))</f>
        <v/>
      </c>
      <c r="G83" s="24"/>
    </row>
    <row r="84" customFormat="false" ht="15" hidden="false" customHeight="false" outlineLevel="0" collapsed="false">
      <c r="A84" s="24"/>
      <c r="B84" s="24"/>
      <c r="C84" s="26"/>
      <c r="D84" s="17"/>
      <c r="E84" s="17"/>
      <c r="F84" s="19" t="str">
        <f aca="false">IF(AND(D84="",E84=""),"",N(E84)-N(D84))</f>
        <v/>
      </c>
      <c r="G84" s="24"/>
    </row>
    <row r="85" customFormat="false" ht="15" hidden="false" customHeight="false" outlineLevel="0" collapsed="false">
      <c r="A85" s="24"/>
      <c r="B85" s="24"/>
      <c r="C85" s="26"/>
      <c r="D85" s="17"/>
      <c r="E85" s="17"/>
      <c r="F85" s="19" t="str">
        <f aca="false">IF(AND(D85="",E85=""),"",N(E85)-N(D85))</f>
        <v/>
      </c>
      <c r="G85" s="24"/>
    </row>
    <row r="86" customFormat="false" ht="15" hidden="false" customHeight="false" outlineLevel="0" collapsed="false">
      <c r="A86" s="24"/>
      <c r="B86" s="24"/>
      <c r="C86" s="26"/>
      <c r="D86" s="17"/>
      <c r="E86" s="17"/>
      <c r="F86" s="19" t="str">
        <f aca="false">IF(AND(D86="",E86=""),"",N(E86)-N(D86))</f>
        <v/>
      </c>
      <c r="G86" s="24"/>
    </row>
    <row r="87" customFormat="false" ht="15" hidden="false" customHeight="false" outlineLevel="0" collapsed="false">
      <c r="A87" s="24"/>
      <c r="B87" s="24"/>
      <c r="C87" s="26"/>
      <c r="D87" s="17"/>
      <c r="E87" s="17"/>
      <c r="F87" s="19" t="str">
        <f aca="false">IF(AND(D87="",E87=""),"",N(E87)-N(D87))</f>
        <v/>
      </c>
      <c r="G87" s="24"/>
    </row>
    <row r="88" customFormat="false" ht="15" hidden="false" customHeight="false" outlineLevel="0" collapsed="false">
      <c r="A88" s="24"/>
      <c r="B88" s="24"/>
      <c r="C88" s="26"/>
      <c r="D88" s="17"/>
      <c r="E88" s="17"/>
      <c r="F88" s="19" t="str">
        <f aca="false">IF(AND(D88="",E88=""),"",N(E88)-N(D88))</f>
        <v/>
      </c>
      <c r="G88" s="24"/>
    </row>
    <row r="89" customFormat="false" ht="15" hidden="false" customHeight="false" outlineLevel="0" collapsed="false">
      <c r="A89" s="24"/>
      <c r="B89" s="24"/>
      <c r="C89" s="26"/>
      <c r="D89" s="17"/>
      <c r="E89" s="17"/>
      <c r="F89" s="19" t="str">
        <f aca="false">IF(AND(D89="",E89=""),"",N(E89)-N(D89))</f>
        <v/>
      </c>
      <c r="G89" s="24"/>
    </row>
    <row r="90" customFormat="false" ht="15" hidden="false" customHeight="false" outlineLevel="0" collapsed="false">
      <c r="A90" s="24"/>
      <c r="B90" s="24"/>
      <c r="C90" s="26"/>
      <c r="D90" s="17"/>
      <c r="E90" s="17"/>
      <c r="F90" s="19" t="str">
        <f aca="false">IF(AND(D90="",E90=""),"",N(E90)-N(D90))</f>
        <v/>
      </c>
      <c r="G90" s="24"/>
    </row>
    <row r="91" customFormat="false" ht="15" hidden="false" customHeight="false" outlineLevel="0" collapsed="false">
      <c r="A91" s="24"/>
      <c r="B91" s="24"/>
      <c r="C91" s="26"/>
      <c r="D91" s="17"/>
      <c r="E91" s="17"/>
      <c r="F91" s="19" t="str">
        <f aca="false">IF(AND(D91="",E91=""),"",N(E91)-N(D91))</f>
        <v/>
      </c>
      <c r="G91" s="24"/>
    </row>
    <row r="92" customFormat="false" ht="15" hidden="false" customHeight="false" outlineLevel="0" collapsed="false">
      <c r="A92" s="24"/>
      <c r="B92" s="24"/>
      <c r="C92" s="26"/>
      <c r="D92" s="17"/>
      <c r="E92" s="17"/>
      <c r="F92" s="19" t="str">
        <f aca="false">IF(AND(D92="",E92=""),"",N(E92)-N(D92))</f>
        <v/>
      </c>
      <c r="G92" s="24"/>
    </row>
    <row r="93" customFormat="false" ht="15" hidden="false" customHeight="false" outlineLevel="0" collapsed="false">
      <c r="A93" s="24"/>
      <c r="B93" s="24"/>
      <c r="C93" s="26"/>
      <c r="D93" s="17"/>
      <c r="E93" s="17"/>
      <c r="F93" s="19" t="str">
        <f aca="false">IF(AND(D93="",E93=""),"",N(E93)-N(D93))</f>
        <v/>
      </c>
      <c r="G93" s="24"/>
    </row>
    <row r="94" customFormat="false" ht="15" hidden="false" customHeight="false" outlineLevel="0" collapsed="false">
      <c r="A94" s="24"/>
      <c r="B94" s="24"/>
      <c r="C94" s="26"/>
      <c r="D94" s="17"/>
      <c r="E94" s="17"/>
      <c r="F94" s="19" t="str">
        <f aca="false">IF(AND(D94="",E94=""),"",N(E94)-N(D94))</f>
        <v/>
      </c>
      <c r="G94" s="24"/>
    </row>
    <row r="95" customFormat="false" ht="15" hidden="false" customHeight="false" outlineLevel="0" collapsed="false">
      <c r="A95" s="24"/>
      <c r="B95" s="24"/>
      <c r="C95" s="26"/>
      <c r="D95" s="17"/>
      <c r="E95" s="17"/>
      <c r="F95" s="19" t="str">
        <f aca="false">IF(AND(D95="",E95=""),"",N(E95)-N(D95))</f>
        <v/>
      </c>
      <c r="G95" s="24"/>
    </row>
    <row r="96" customFormat="false" ht="15" hidden="false" customHeight="false" outlineLevel="0" collapsed="false">
      <c r="A96" s="24"/>
      <c r="B96" s="24"/>
      <c r="C96" s="26"/>
      <c r="D96" s="17"/>
      <c r="E96" s="17"/>
      <c r="F96" s="19" t="str">
        <f aca="false">IF(AND(D96="",E96=""),"",N(E96)-N(D96))</f>
        <v/>
      </c>
      <c r="G96" s="24"/>
    </row>
    <row r="97" customFormat="false" ht="15" hidden="false" customHeight="false" outlineLevel="0" collapsed="false">
      <c r="A97" s="24"/>
      <c r="B97" s="24"/>
      <c r="C97" s="26"/>
      <c r="D97" s="17"/>
      <c r="E97" s="17"/>
      <c r="F97" s="19" t="str">
        <f aca="false">IF(AND(D97="",E97=""),"",N(E97)-N(D97))</f>
        <v/>
      </c>
      <c r="G97" s="24"/>
    </row>
    <row r="98" customFormat="false" ht="15" hidden="false" customHeight="false" outlineLevel="0" collapsed="false">
      <c r="A98" s="24"/>
      <c r="B98" s="24"/>
      <c r="C98" s="26"/>
      <c r="D98" s="17"/>
      <c r="E98" s="17"/>
      <c r="F98" s="19" t="str">
        <f aca="false">IF(AND(D98="",E98=""),"",N(E98)-N(D98))</f>
        <v/>
      </c>
      <c r="G98" s="24"/>
    </row>
    <row r="99" customFormat="false" ht="15" hidden="false" customHeight="false" outlineLevel="0" collapsed="false">
      <c r="A99" s="24"/>
      <c r="B99" s="24"/>
      <c r="C99" s="26"/>
      <c r="D99" s="17"/>
      <c r="E99" s="17"/>
      <c r="F99" s="19" t="str">
        <f aca="false">IF(AND(D99="",E99=""),"",N(E99)-N(D99))</f>
        <v/>
      </c>
      <c r="G99" s="24"/>
    </row>
    <row r="100" customFormat="false" ht="15" hidden="false" customHeight="false" outlineLevel="0" collapsed="false">
      <c r="A100" s="24"/>
      <c r="B100" s="24"/>
      <c r="C100" s="26"/>
      <c r="D100" s="17"/>
      <c r="E100" s="17"/>
      <c r="F100" s="19" t="str">
        <f aca="false">IF(AND(D100="",E100=""),"",N(E100)-N(D100))</f>
        <v/>
      </c>
      <c r="G100" s="24"/>
    </row>
    <row r="101" customFormat="false" ht="15" hidden="false" customHeight="false" outlineLevel="0" collapsed="false">
      <c r="A101" s="24"/>
      <c r="B101" s="24"/>
      <c r="C101" s="26"/>
      <c r="D101" s="17"/>
      <c r="E101" s="17"/>
      <c r="F101" s="19" t="str">
        <f aca="false">IF(AND(D101="",E101=""),"",N(E101)-N(D101))</f>
        <v/>
      </c>
      <c r="G101" s="24"/>
    </row>
    <row r="102" customFormat="false" ht="15" hidden="false" customHeight="false" outlineLevel="0" collapsed="false">
      <c r="A102" s="24"/>
      <c r="B102" s="24"/>
      <c r="C102" s="26"/>
      <c r="D102" s="17"/>
      <c r="E102" s="17"/>
      <c r="F102" s="19" t="str">
        <f aca="false">IF(AND(D102="",E102=""),"",N(E102)-N(D102))</f>
        <v/>
      </c>
      <c r="G102" s="24"/>
    </row>
    <row r="103" customFormat="false" ht="15" hidden="false" customHeight="false" outlineLevel="0" collapsed="false">
      <c r="A103" s="24"/>
      <c r="B103" s="24"/>
      <c r="C103" s="26"/>
      <c r="D103" s="17"/>
      <c r="E103" s="17"/>
      <c r="F103" s="19" t="str">
        <f aca="false">IF(AND(D103="",E103=""),"",N(E103)-N(D103))</f>
        <v/>
      </c>
      <c r="G103" s="24"/>
    </row>
    <row r="104" customFormat="false" ht="15" hidden="false" customHeight="false" outlineLevel="0" collapsed="false">
      <c r="A104" s="24"/>
      <c r="B104" s="24"/>
      <c r="C104" s="26"/>
      <c r="D104" s="17"/>
      <c r="E104" s="17"/>
      <c r="F104" s="19" t="str">
        <f aca="false">IF(AND(D104="",E104=""),"",N(E104)-N(D104))</f>
        <v/>
      </c>
      <c r="G104" s="24"/>
    </row>
    <row r="105" customFormat="false" ht="15" hidden="false" customHeight="false" outlineLevel="0" collapsed="false">
      <c r="A105" s="24"/>
      <c r="B105" s="24"/>
      <c r="C105" s="26"/>
      <c r="D105" s="17"/>
      <c r="E105" s="17"/>
      <c r="F105" s="19" t="str">
        <f aca="false">IF(AND(D105="",E105=""),"",N(E105)-N(D105))</f>
        <v/>
      </c>
      <c r="G105" s="24"/>
    </row>
    <row r="106" customFormat="false" ht="15" hidden="false" customHeight="false" outlineLevel="0" collapsed="false">
      <c r="A106" s="24"/>
      <c r="B106" s="24"/>
      <c r="C106" s="26"/>
      <c r="D106" s="17"/>
      <c r="E106" s="17"/>
      <c r="F106" s="19" t="str">
        <f aca="false">IF(AND(D106="",E106=""),"",N(E106)-N(D106))</f>
        <v/>
      </c>
      <c r="G106" s="24"/>
    </row>
    <row r="107" customFormat="false" ht="15" hidden="false" customHeight="false" outlineLevel="0" collapsed="false">
      <c r="A107" s="24"/>
      <c r="B107" s="24"/>
      <c r="C107" s="26"/>
      <c r="D107" s="17"/>
      <c r="E107" s="17"/>
      <c r="F107" s="19" t="str">
        <f aca="false">IF(AND(D107="",E107=""),"",N(E107)-N(D107))</f>
        <v/>
      </c>
      <c r="G107" s="24"/>
    </row>
    <row r="108" customFormat="false" ht="15" hidden="false" customHeight="false" outlineLevel="0" collapsed="false">
      <c r="A108" s="24"/>
      <c r="B108" s="24"/>
      <c r="C108" s="26"/>
      <c r="D108" s="17"/>
      <c r="E108" s="17"/>
      <c r="F108" s="19" t="str">
        <f aca="false">IF(AND(D108="",E108=""),"",N(E108)-N(D108))</f>
        <v/>
      </c>
      <c r="G108" s="24"/>
    </row>
    <row r="109" customFormat="false" ht="15" hidden="false" customHeight="false" outlineLevel="0" collapsed="false">
      <c r="A109" s="24"/>
      <c r="B109" s="24"/>
      <c r="C109" s="26"/>
      <c r="D109" s="17"/>
      <c r="E109" s="17"/>
      <c r="F109" s="19" t="str">
        <f aca="false">IF(AND(D109="",E109=""),"",N(E109)-N(D109))</f>
        <v/>
      </c>
      <c r="G109" s="24"/>
    </row>
    <row r="110" customFormat="false" ht="15" hidden="false" customHeight="false" outlineLevel="0" collapsed="false">
      <c r="A110" s="24"/>
      <c r="B110" s="24"/>
      <c r="C110" s="26"/>
      <c r="D110" s="17"/>
      <c r="E110" s="17"/>
      <c r="F110" s="19" t="str">
        <f aca="false">IF(AND(D110="",E110=""),"",N(E110)-N(D110))</f>
        <v/>
      </c>
      <c r="G110" s="24"/>
    </row>
    <row r="111" customFormat="false" ht="15" hidden="false" customHeight="false" outlineLevel="0" collapsed="false">
      <c r="A111" s="24"/>
      <c r="B111" s="24"/>
      <c r="C111" s="26"/>
      <c r="D111" s="17"/>
      <c r="E111" s="17"/>
      <c r="F111" s="19" t="str">
        <f aca="false">IF(AND(D111="",E111=""),"",N(E111)-N(D111))</f>
        <v/>
      </c>
      <c r="G111" s="24"/>
    </row>
    <row r="112" customFormat="false" ht="15" hidden="false" customHeight="false" outlineLevel="0" collapsed="false">
      <c r="A112" s="24"/>
      <c r="B112" s="24"/>
      <c r="C112" s="26"/>
      <c r="D112" s="17"/>
      <c r="E112" s="17"/>
      <c r="F112" s="19" t="str">
        <f aca="false">IF(AND(D112="",E112=""),"",N(E112)-N(D112))</f>
        <v/>
      </c>
      <c r="G112" s="24"/>
    </row>
    <row r="113" customFormat="false" ht="15" hidden="false" customHeight="false" outlineLevel="0" collapsed="false">
      <c r="A113" s="24"/>
      <c r="B113" s="24"/>
      <c r="C113" s="26"/>
      <c r="D113" s="17"/>
      <c r="E113" s="17"/>
      <c r="F113" s="19" t="str">
        <f aca="false">IF(AND(D113="",E113=""),"",N(E113)-N(D113))</f>
        <v/>
      </c>
      <c r="G113" s="24"/>
    </row>
    <row r="114" customFormat="false" ht="15" hidden="false" customHeight="false" outlineLevel="0" collapsed="false">
      <c r="A114" s="24"/>
      <c r="B114" s="24"/>
      <c r="C114" s="26"/>
      <c r="D114" s="17"/>
      <c r="E114" s="17"/>
      <c r="F114" s="19" t="str">
        <f aca="false">IF(AND(D114="",E114=""),"",N(E114)-N(D114))</f>
        <v/>
      </c>
      <c r="G114" s="24"/>
    </row>
    <row r="115" customFormat="false" ht="15" hidden="false" customHeight="false" outlineLevel="0" collapsed="false">
      <c r="A115" s="24"/>
      <c r="B115" s="24"/>
      <c r="C115" s="26"/>
      <c r="D115" s="17"/>
      <c r="E115" s="17"/>
      <c r="F115" s="19" t="str">
        <f aca="false">IF(AND(D115="",E115=""),"",N(E115)-N(D115))</f>
        <v/>
      </c>
      <c r="G115" s="24"/>
    </row>
    <row r="116" customFormat="false" ht="15" hidden="false" customHeight="false" outlineLevel="0" collapsed="false">
      <c r="A116" s="24"/>
      <c r="B116" s="24"/>
      <c r="C116" s="26"/>
      <c r="D116" s="17"/>
      <c r="E116" s="17"/>
      <c r="F116" s="19" t="str">
        <f aca="false">IF(AND(D116="",E116=""),"",N(E116)-N(D116))</f>
        <v/>
      </c>
      <c r="G116" s="24"/>
    </row>
    <row r="117" customFormat="false" ht="15" hidden="false" customHeight="false" outlineLevel="0" collapsed="false">
      <c r="A117" s="24"/>
      <c r="B117" s="24"/>
      <c r="C117" s="26"/>
      <c r="D117" s="17"/>
      <c r="E117" s="17"/>
      <c r="F117" s="19" t="str">
        <f aca="false">IF(AND(D117="",E117=""),"",N(E117)-N(D117))</f>
        <v/>
      </c>
      <c r="G117" s="24"/>
    </row>
    <row r="118" customFormat="false" ht="15" hidden="false" customHeight="false" outlineLevel="0" collapsed="false">
      <c r="A118" s="24"/>
      <c r="B118" s="24"/>
      <c r="C118" s="26"/>
      <c r="D118" s="17"/>
      <c r="E118" s="17"/>
      <c r="F118" s="19" t="str">
        <f aca="false">IF(AND(D118="",E118=""),"",N(E118)-N(D118))</f>
        <v/>
      </c>
      <c r="G118" s="24"/>
    </row>
    <row r="119" customFormat="false" ht="15" hidden="false" customHeight="false" outlineLevel="0" collapsed="false">
      <c r="A119" s="24"/>
      <c r="B119" s="24"/>
      <c r="C119" s="26"/>
      <c r="D119" s="17"/>
      <c r="E119" s="17"/>
      <c r="F119" s="19" t="str">
        <f aca="false">IF(AND(D119="",E119=""),"",N(E119)-N(D119))</f>
        <v/>
      </c>
      <c r="G119" s="24"/>
    </row>
    <row r="120" customFormat="false" ht="15" hidden="false" customHeight="false" outlineLevel="0" collapsed="false">
      <c r="A120" s="24"/>
      <c r="B120" s="24"/>
      <c r="C120" s="26"/>
      <c r="D120" s="17"/>
      <c r="E120" s="17"/>
      <c r="F120" s="19" t="str">
        <f aca="false">IF(AND(D120="",E120=""),"",N(E120)-N(D120))</f>
        <v/>
      </c>
      <c r="G120" s="24"/>
    </row>
    <row r="121" customFormat="false" ht="15" hidden="false" customHeight="false" outlineLevel="0" collapsed="false">
      <c r="A121" s="24"/>
      <c r="B121" s="24"/>
      <c r="C121" s="26"/>
      <c r="D121" s="17"/>
      <c r="E121" s="17"/>
      <c r="F121" s="19" t="str">
        <f aca="false">IF(AND(D121="",E121=""),"",N(E121)-N(D121))</f>
        <v/>
      </c>
      <c r="G121" s="24"/>
    </row>
    <row r="122" customFormat="false" ht="15" hidden="false" customHeight="false" outlineLevel="0" collapsed="false">
      <c r="A122" s="24"/>
      <c r="B122" s="24"/>
      <c r="C122" s="26"/>
      <c r="D122" s="17"/>
      <c r="E122" s="17"/>
      <c r="F122" s="19" t="str">
        <f aca="false">IF(AND(D122="",E122=""),"",N(E122)-N(D122))</f>
        <v/>
      </c>
      <c r="G122" s="24"/>
    </row>
    <row r="123" customFormat="false" ht="15" hidden="false" customHeight="false" outlineLevel="0" collapsed="false">
      <c r="A123" s="24"/>
      <c r="B123" s="24"/>
      <c r="C123" s="26"/>
      <c r="D123" s="17"/>
      <c r="E123" s="17"/>
      <c r="F123" s="19" t="str">
        <f aca="false">IF(AND(D123="",E123=""),"",N(E123)-N(D123))</f>
        <v/>
      </c>
      <c r="G123" s="24"/>
    </row>
    <row r="124" customFormat="false" ht="15" hidden="false" customHeight="false" outlineLevel="0" collapsed="false">
      <c r="A124" s="24"/>
      <c r="B124" s="24"/>
      <c r="C124" s="26"/>
      <c r="D124" s="17"/>
      <c r="E124" s="17"/>
      <c r="F124" s="19" t="str">
        <f aca="false">IF(AND(D124="",E124=""),"",N(E124)-N(D124))</f>
        <v/>
      </c>
      <c r="G124" s="24"/>
    </row>
    <row r="125" customFormat="false" ht="15" hidden="false" customHeight="false" outlineLevel="0" collapsed="false">
      <c r="A125" s="24"/>
      <c r="B125" s="24"/>
      <c r="C125" s="26"/>
      <c r="D125" s="17"/>
      <c r="E125" s="17"/>
      <c r="F125" s="19" t="str">
        <f aca="false">IF(AND(D125="",E125=""),"",N(E125)-N(D125))</f>
        <v/>
      </c>
      <c r="G125" s="24"/>
    </row>
    <row r="126" customFormat="false" ht="15" hidden="false" customHeight="false" outlineLevel="0" collapsed="false">
      <c r="A126" s="24"/>
      <c r="B126" s="24"/>
      <c r="C126" s="26"/>
      <c r="D126" s="17"/>
      <c r="E126" s="17"/>
      <c r="F126" s="19" t="str">
        <f aca="false">IF(AND(D126="",E126=""),"",N(E126)-N(D126))</f>
        <v/>
      </c>
      <c r="G126" s="24"/>
    </row>
    <row r="127" customFormat="false" ht="15" hidden="false" customHeight="false" outlineLevel="0" collapsed="false">
      <c r="A127" s="24"/>
      <c r="B127" s="24"/>
      <c r="C127" s="26"/>
      <c r="D127" s="17"/>
      <c r="E127" s="17"/>
      <c r="F127" s="19" t="str">
        <f aca="false">IF(AND(D127="",E127=""),"",N(E127)-N(D127))</f>
        <v/>
      </c>
      <c r="G127" s="24"/>
    </row>
    <row r="128" customFormat="false" ht="15" hidden="false" customHeight="false" outlineLevel="0" collapsed="false">
      <c r="A128" s="24"/>
      <c r="B128" s="24"/>
      <c r="C128" s="26"/>
      <c r="D128" s="17"/>
      <c r="E128" s="17"/>
      <c r="F128" s="19" t="str">
        <f aca="false">IF(AND(D128="",E128=""),"",N(E128)-N(D128))</f>
        <v/>
      </c>
      <c r="G128" s="24"/>
    </row>
    <row r="129" customFormat="false" ht="15" hidden="false" customHeight="false" outlineLevel="0" collapsed="false">
      <c r="A129" s="24"/>
      <c r="B129" s="24"/>
      <c r="C129" s="26"/>
      <c r="D129" s="17"/>
      <c r="E129" s="17"/>
      <c r="F129" s="19" t="str">
        <f aca="false">IF(AND(D129="",E129=""),"",N(E129)-N(D129))</f>
        <v/>
      </c>
      <c r="G129" s="24"/>
    </row>
    <row r="130" customFormat="false" ht="15" hidden="false" customHeight="false" outlineLevel="0" collapsed="false">
      <c r="A130" s="24"/>
      <c r="B130" s="24"/>
      <c r="C130" s="26"/>
      <c r="D130" s="17"/>
      <c r="E130" s="17"/>
      <c r="F130" s="19" t="str">
        <f aca="false">IF(AND(D130="",E130=""),"",N(E130)-N(D130))</f>
        <v/>
      </c>
      <c r="G130" s="24"/>
    </row>
    <row r="131" customFormat="false" ht="15" hidden="false" customHeight="false" outlineLevel="0" collapsed="false">
      <c r="A131" s="24"/>
      <c r="B131" s="24"/>
      <c r="C131" s="26"/>
      <c r="D131" s="17"/>
      <c r="E131" s="17"/>
      <c r="F131" s="19" t="str">
        <f aca="false">IF(AND(D131="",E131=""),"",N(E131)-N(D131))</f>
        <v/>
      </c>
      <c r="G131" s="24"/>
    </row>
    <row r="132" customFormat="false" ht="15" hidden="false" customHeight="false" outlineLevel="0" collapsed="false">
      <c r="A132" s="24"/>
      <c r="B132" s="24"/>
      <c r="C132" s="26"/>
      <c r="D132" s="17"/>
      <c r="E132" s="17"/>
      <c r="F132" s="19" t="str">
        <f aca="false">IF(AND(D132="",E132=""),"",N(E132)-N(D132))</f>
        <v/>
      </c>
      <c r="G132" s="24"/>
    </row>
    <row r="133" customFormat="false" ht="15" hidden="false" customHeight="false" outlineLevel="0" collapsed="false">
      <c r="A133" s="24"/>
      <c r="B133" s="24"/>
      <c r="C133" s="26"/>
      <c r="D133" s="17"/>
      <c r="E133" s="17"/>
      <c r="F133" s="19" t="str">
        <f aca="false">IF(AND(D133="",E133=""),"",N(E133)-N(D133))</f>
        <v/>
      </c>
      <c r="G133" s="24"/>
    </row>
    <row r="134" customFormat="false" ht="15" hidden="false" customHeight="false" outlineLevel="0" collapsed="false">
      <c r="A134" s="24"/>
      <c r="B134" s="24"/>
      <c r="C134" s="26"/>
      <c r="D134" s="17"/>
      <c r="E134" s="17"/>
      <c r="F134" s="19" t="str">
        <f aca="false">IF(AND(D134="",E134=""),"",N(E134)-N(D134))</f>
        <v/>
      </c>
      <c r="G134" s="24"/>
    </row>
    <row r="135" customFormat="false" ht="15" hidden="false" customHeight="false" outlineLevel="0" collapsed="false">
      <c r="A135" s="24"/>
      <c r="B135" s="24"/>
      <c r="C135" s="26"/>
      <c r="D135" s="17"/>
      <c r="E135" s="17"/>
      <c r="F135" s="19" t="str">
        <f aca="false">IF(AND(D135="",E135=""),"",N(E135)-N(D135))</f>
        <v/>
      </c>
      <c r="G135" s="24"/>
    </row>
    <row r="136" customFormat="false" ht="15" hidden="false" customHeight="false" outlineLevel="0" collapsed="false">
      <c r="A136" s="24"/>
      <c r="B136" s="24"/>
      <c r="C136" s="26"/>
      <c r="D136" s="17"/>
      <c r="E136" s="17"/>
      <c r="F136" s="19" t="str">
        <f aca="false">IF(AND(D136="",E136=""),"",N(E136)-N(D136))</f>
        <v/>
      </c>
      <c r="G136" s="24"/>
    </row>
    <row r="137" customFormat="false" ht="15" hidden="false" customHeight="false" outlineLevel="0" collapsed="false">
      <c r="A137" s="24"/>
      <c r="B137" s="24"/>
      <c r="C137" s="26"/>
      <c r="D137" s="17"/>
      <c r="E137" s="17"/>
      <c r="F137" s="19" t="str">
        <f aca="false">IF(AND(D137="",E137=""),"",N(E137)-N(D137))</f>
        <v/>
      </c>
      <c r="G137" s="24"/>
    </row>
    <row r="138" customFormat="false" ht="15" hidden="false" customHeight="false" outlineLevel="0" collapsed="false">
      <c r="A138" s="24"/>
      <c r="B138" s="24"/>
      <c r="C138" s="26"/>
      <c r="D138" s="17"/>
      <c r="E138" s="17"/>
      <c r="F138" s="19" t="str">
        <f aca="false">IF(AND(D138="",E138=""),"",N(E138)-N(D138))</f>
        <v/>
      </c>
      <c r="G138" s="24"/>
    </row>
    <row r="139" customFormat="false" ht="15" hidden="false" customHeight="false" outlineLevel="0" collapsed="false">
      <c r="A139" s="24"/>
      <c r="B139" s="24"/>
      <c r="C139" s="26"/>
      <c r="D139" s="17"/>
      <c r="E139" s="17"/>
      <c r="F139" s="19" t="str">
        <f aca="false">IF(AND(D139="",E139=""),"",N(E139)-N(D139))</f>
        <v/>
      </c>
      <c r="G139" s="24"/>
    </row>
    <row r="140" customFormat="false" ht="15" hidden="false" customHeight="false" outlineLevel="0" collapsed="false">
      <c r="A140" s="24"/>
      <c r="B140" s="24"/>
      <c r="C140" s="26"/>
      <c r="D140" s="17"/>
      <c r="E140" s="17"/>
      <c r="F140" s="19" t="str">
        <f aca="false">IF(AND(D140="",E140=""),"",N(E140)-N(D140))</f>
        <v/>
      </c>
      <c r="G140" s="24"/>
    </row>
    <row r="141" customFormat="false" ht="15" hidden="false" customHeight="false" outlineLevel="0" collapsed="false">
      <c r="A141" s="24"/>
      <c r="B141" s="24"/>
      <c r="C141" s="26"/>
      <c r="D141" s="17"/>
      <c r="E141" s="17"/>
      <c r="F141" s="19" t="str">
        <f aca="false">IF(AND(D141="",E141=""),"",N(E141)-N(D141))</f>
        <v/>
      </c>
      <c r="G141" s="24"/>
    </row>
    <row r="142" customFormat="false" ht="15" hidden="false" customHeight="false" outlineLevel="0" collapsed="false">
      <c r="A142" s="24"/>
      <c r="B142" s="24"/>
      <c r="C142" s="26"/>
      <c r="D142" s="17"/>
      <c r="E142" s="17"/>
      <c r="F142" s="19" t="str">
        <f aca="false">IF(AND(D142="",E142=""),"",N(E142)-N(D142))</f>
        <v/>
      </c>
      <c r="G142" s="24"/>
    </row>
    <row r="143" customFormat="false" ht="15" hidden="false" customHeight="false" outlineLevel="0" collapsed="false">
      <c r="A143" s="24"/>
      <c r="B143" s="24"/>
      <c r="C143" s="26"/>
      <c r="D143" s="17"/>
      <c r="E143" s="17"/>
      <c r="F143" s="19" t="str">
        <f aca="false">IF(AND(D143="",E143=""),"",N(E143)-N(D143))</f>
        <v/>
      </c>
      <c r="G143" s="24"/>
    </row>
    <row r="144" customFormat="false" ht="15" hidden="false" customHeight="false" outlineLevel="0" collapsed="false">
      <c r="A144" s="24"/>
      <c r="B144" s="24"/>
      <c r="C144" s="26"/>
      <c r="D144" s="17"/>
      <c r="E144" s="17"/>
      <c r="F144" s="19" t="str">
        <f aca="false">IF(AND(D144="",E144=""),"",N(E144)-N(D144))</f>
        <v/>
      </c>
      <c r="G144" s="24"/>
    </row>
    <row r="145" customFormat="false" ht="15" hidden="false" customHeight="false" outlineLevel="0" collapsed="false">
      <c r="A145" s="24"/>
      <c r="B145" s="24"/>
      <c r="C145" s="26"/>
      <c r="D145" s="17"/>
      <c r="E145" s="17"/>
      <c r="F145" s="19" t="str">
        <f aca="false">IF(AND(D145="",E145=""),"",N(E145)-N(D145))</f>
        <v/>
      </c>
      <c r="G145" s="24"/>
    </row>
    <row r="146" customFormat="false" ht="15" hidden="false" customHeight="false" outlineLevel="0" collapsed="false">
      <c r="A146" s="24"/>
      <c r="B146" s="24"/>
      <c r="C146" s="26"/>
      <c r="D146" s="17"/>
      <c r="E146" s="17"/>
      <c r="F146" s="19" t="str">
        <f aca="false">IF(AND(D146="",E146=""),"",N(E146)-N(D146))</f>
        <v/>
      </c>
      <c r="G146" s="24"/>
    </row>
    <row r="147" customFormat="false" ht="15" hidden="false" customHeight="false" outlineLevel="0" collapsed="false">
      <c r="A147" s="24"/>
      <c r="B147" s="24"/>
      <c r="C147" s="26"/>
      <c r="D147" s="17"/>
      <c r="E147" s="17"/>
      <c r="F147" s="19" t="str">
        <f aca="false">IF(AND(D147="",E147=""),"",N(E147)-N(D147))</f>
        <v/>
      </c>
      <c r="G147" s="24"/>
    </row>
    <row r="148" customFormat="false" ht="15" hidden="false" customHeight="false" outlineLevel="0" collapsed="false">
      <c r="A148" s="24"/>
      <c r="B148" s="24"/>
      <c r="C148" s="26"/>
      <c r="D148" s="17"/>
      <c r="E148" s="17"/>
      <c r="F148" s="19" t="str">
        <f aca="false">IF(AND(D148="",E148=""),"",N(E148)-N(D148))</f>
        <v/>
      </c>
      <c r="G148" s="24"/>
    </row>
    <row r="149" customFormat="false" ht="15" hidden="false" customHeight="false" outlineLevel="0" collapsed="false">
      <c r="A149" s="24"/>
      <c r="B149" s="24"/>
      <c r="C149" s="26"/>
      <c r="D149" s="17"/>
      <c r="E149" s="17"/>
      <c r="F149" s="19" t="str">
        <f aca="false">IF(AND(D149="",E149=""),"",N(E149)-N(D149))</f>
        <v/>
      </c>
      <c r="G149" s="24"/>
    </row>
    <row r="150" customFormat="false" ht="15" hidden="false" customHeight="false" outlineLevel="0" collapsed="false">
      <c r="A150" s="24"/>
      <c r="B150" s="24"/>
      <c r="C150" s="26"/>
      <c r="D150" s="17"/>
      <c r="E150" s="17"/>
      <c r="F150" s="19" t="str">
        <f aca="false">IF(AND(D150="",E150=""),"",N(E150)-N(D150))</f>
        <v/>
      </c>
      <c r="G150" s="24"/>
    </row>
    <row r="151" customFormat="false" ht="15" hidden="false" customHeight="false" outlineLevel="0" collapsed="false">
      <c r="A151" s="24"/>
      <c r="B151" s="24"/>
      <c r="C151" s="26"/>
      <c r="D151" s="17"/>
      <c r="E151" s="17"/>
      <c r="F151" s="19" t="str">
        <f aca="false">IF(AND(D151="",E151=""),"",N(E151)-N(D151))</f>
        <v/>
      </c>
      <c r="G151" s="24"/>
    </row>
    <row r="152" customFormat="false" ht="15" hidden="false" customHeight="false" outlineLevel="0" collapsed="false">
      <c r="A152" s="24"/>
      <c r="B152" s="24"/>
      <c r="C152" s="26"/>
      <c r="D152" s="17"/>
      <c r="E152" s="17"/>
      <c r="F152" s="19" t="str">
        <f aca="false">IF(AND(D152="",E152=""),"",N(E152)-N(D152))</f>
        <v/>
      </c>
      <c r="G152" s="24"/>
    </row>
    <row r="153" customFormat="false" ht="15" hidden="false" customHeight="false" outlineLevel="0" collapsed="false">
      <c r="A153" s="24"/>
      <c r="B153" s="24"/>
      <c r="C153" s="26"/>
      <c r="D153" s="17"/>
      <c r="E153" s="17"/>
      <c r="F153" s="19" t="str">
        <f aca="false">IF(AND(D153="",E153=""),"",N(E153)-N(D153))</f>
        <v/>
      </c>
      <c r="G153" s="24"/>
    </row>
    <row r="154" customFormat="false" ht="15" hidden="false" customHeight="false" outlineLevel="0" collapsed="false">
      <c r="A154" s="24"/>
      <c r="B154" s="24"/>
      <c r="C154" s="26"/>
      <c r="D154" s="17"/>
      <c r="E154" s="17"/>
      <c r="F154" s="19" t="str">
        <f aca="false">IF(AND(D154="",E154=""),"",N(E154)-N(D154))</f>
        <v/>
      </c>
      <c r="G154" s="24"/>
    </row>
    <row r="155" customFormat="false" ht="15" hidden="false" customHeight="false" outlineLevel="0" collapsed="false">
      <c r="A155" s="24"/>
      <c r="B155" s="24"/>
      <c r="C155" s="26"/>
      <c r="D155" s="17"/>
      <c r="E155" s="17"/>
      <c r="F155" s="19" t="str">
        <f aca="false">IF(AND(D155="",E155=""),"",N(E155)-N(D155))</f>
        <v/>
      </c>
      <c r="G155" s="24"/>
    </row>
    <row r="156" customFormat="false" ht="15" hidden="false" customHeight="false" outlineLevel="0" collapsed="false">
      <c r="A156" s="24"/>
      <c r="B156" s="24"/>
      <c r="C156" s="26"/>
      <c r="D156" s="17"/>
      <c r="E156" s="17"/>
      <c r="F156" s="19" t="str">
        <f aca="false">IF(AND(D156="",E156=""),"",N(E156)-N(D156))</f>
        <v/>
      </c>
      <c r="G156" s="24"/>
    </row>
    <row r="157" customFormat="false" ht="15" hidden="false" customHeight="false" outlineLevel="0" collapsed="false">
      <c r="A157" s="24"/>
      <c r="B157" s="24"/>
      <c r="C157" s="26"/>
      <c r="D157" s="17"/>
      <c r="E157" s="17"/>
      <c r="F157" s="19" t="str">
        <f aca="false">IF(AND(D157="",E157=""),"",N(E157)-N(D157))</f>
        <v/>
      </c>
      <c r="G157" s="24"/>
    </row>
    <row r="158" customFormat="false" ht="15" hidden="false" customHeight="false" outlineLevel="0" collapsed="false">
      <c r="A158" s="24"/>
      <c r="B158" s="24"/>
      <c r="C158" s="26"/>
      <c r="D158" s="17"/>
      <c r="E158" s="17"/>
      <c r="F158" s="19" t="str">
        <f aca="false">IF(AND(D158="",E158=""),"",N(E158)-N(D158))</f>
        <v/>
      </c>
      <c r="G158" s="24"/>
    </row>
    <row r="159" customFormat="false" ht="15" hidden="false" customHeight="false" outlineLevel="0" collapsed="false">
      <c r="A159" s="24"/>
      <c r="B159" s="24"/>
      <c r="C159" s="26"/>
      <c r="D159" s="17"/>
      <c r="E159" s="17"/>
      <c r="F159" s="19" t="str">
        <f aca="false">IF(AND(D159="",E159=""),"",N(E159)-N(D159))</f>
        <v/>
      </c>
      <c r="G159" s="24"/>
    </row>
    <row r="160" customFormat="false" ht="15" hidden="false" customHeight="false" outlineLevel="0" collapsed="false">
      <c r="A160" s="24"/>
      <c r="B160" s="24"/>
      <c r="C160" s="26"/>
      <c r="D160" s="17"/>
      <c r="E160" s="17"/>
      <c r="F160" s="19" t="str">
        <f aca="false">IF(AND(D160="",E160=""),"",N(E160)-N(D160))</f>
        <v/>
      </c>
      <c r="G160" s="24"/>
    </row>
    <row r="161" customFormat="false" ht="15" hidden="false" customHeight="false" outlineLevel="0" collapsed="false">
      <c r="A161" s="24"/>
      <c r="B161" s="24"/>
      <c r="C161" s="26"/>
      <c r="D161" s="17"/>
      <c r="E161" s="17"/>
      <c r="F161" s="19" t="str">
        <f aca="false">IF(AND(D161="",E161=""),"",N(E161)-N(D161))</f>
        <v/>
      </c>
      <c r="G161" s="24"/>
    </row>
    <row r="162" customFormat="false" ht="15" hidden="false" customHeight="false" outlineLevel="0" collapsed="false">
      <c r="A162" s="24"/>
      <c r="B162" s="24"/>
      <c r="C162" s="26"/>
      <c r="D162" s="17"/>
      <c r="E162" s="17"/>
      <c r="F162" s="19" t="str">
        <f aca="false">IF(AND(D162="",E162=""),"",N(E162)-N(D162))</f>
        <v/>
      </c>
      <c r="G162" s="24"/>
    </row>
    <row r="163" customFormat="false" ht="15" hidden="false" customHeight="false" outlineLevel="0" collapsed="false">
      <c r="A163" s="24"/>
      <c r="B163" s="24"/>
      <c r="C163" s="26"/>
      <c r="D163" s="17"/>
      <c r="E163" s="17"/>
      <c r="F163" s="19" t="str">
        <f aca="false">IF(AND(D163="",E163=""),"",N(E163)-N(D163))</f>
        <v/>
      </c>
      <c r="G163" s="24"/>
    </row>
    <row r="164" customFormat="false" ht="15" hidden="false" customHeight="false" outlineLevel="0" collapsed="false">
      <c r="A164" s="24"/>
      <c r="B164" s="24"/>
      <c r="C164" s="26"/>
      <c r="D164" s="17"/>
      <c r="E164" s="17"/>
      <c r="F164" s="19" t="str">
        <f aca="false">IF(AND(D164="",E164=""),"",N(E164)-N(D164))</f>
        <v/>
      </c>
      <c r="G164" s="24"/>
    </row>
    <row r="165" customFormat="false" ht="15" hidden="false" customHeight="false" outlineLevel="0" collapsed="false">
      <c r="A165" s="24"/>
      <c r="B165" s="24"/>
      <c r="C165" s="26"/>
      <c r="D165" s="17"/>
      <c r="E165" s="17"/>
      <c r="F165" s="19" t="str">
        <f aca="false">IF(AND(D165="",E165=""),"",N(E165)-N(D165))</f>
        <v/>
      </c>
      <c r="G165" s="24"/>
    </row>
    <row r="166" customFormat="false" ht="15" hidden="false" customHeight="false" outlineLevel="0" collapsed="false">
      <c r="A166" s="24"/>
      <c r="B166" s="24"/>
      <c r="C166" s="26"/>
      <c r="D166" s="17"/>
      <c r="E166" s="17"/>
      <c r="F166" s="19" t="str">
        <f aca="false">IF(AND(D166="",E166=""),"",N(E166)-N(D166))</f>
        <v/>
      </c>
      <c r="G166" s="24"/>
    </row>
    <row r="167" customFormat="false" ht="15" hidden="false" customHeight="false" outlineLevel="0" collapsed="false">
      <c r="A167" s="24"/>
      <c r="B167" s="24"/>
      <c r="C167" s="26"/>
      <c r="D167" s="17"/>
      <c r="E167" s="17"/>
      <c r="F167" s="19" t="str">
        <f aca="false">IF(AND(D167="",E167=""),"",N(E167)-N(D167))</f>
        <v/>
      </c>
      <c r="G167" s="24"/>
    </row>
    <row r="168" customFormat="false" ht="15" hidden="false" customHeight="false" outlineLevel="0" collapsed="false">
      <c r="A168" s="24"/>
      <c r="B168" s="24"/>
      <c r="C168" s="26"/>
      <c r="D168" s="17"/>
      <c r="E168" s="17"/>
      <c r="F168" s="19" t="str">
        <f aca="false">IF(AND(D168="",E168=""),"",N(E168)-N(D168))</f>
        <v/>
      </c>
      <c r="G168" s="24"/>
    </row>
    <row r="169" customFormat="false" ht="15" hidden="false" customHeight="false" outlineLevel="0" collapsed="false">
      <c r="A169" s="24"/>
      <c r="B169" s="24"/>
      <c r="C169" s="26"/>
      <c r="D169" s="17"/>
      <c r="E169" s="17"/>
      <c r="F169" s="19" t="str">
        <f aca="false">IF(AND(D169="",E169=""),"",N(E169)-N(D169))</f>
        <v/>
      </c>
      <c r="G169" s="24"/>
    </row>
    <row r="170" customFormat="false" ht="15" hidden="false" customHeight="false" outlineLevel="0" collapsed="false">
      <c r="A170" s="24"/>
      <c r="B170" s="24"/>
      <c r="C170" s="26"/>
      <c r="D170" s="17"/>
      <c r="E170" s="17"/>
      <c r="F170" s="19" t="str">
        <f aca="false">IF(AND(D170="",E170=""),"",N(E170)-N(D170))</f>
        <v/>
      </c>
      <c r="G170" s="24"/>
    </row>
    <row r="171" customFormat="false" ht="15" hidden="false" customHeight="false" outlineLevel="0" collapsed="false">
      <c r="A171" s="24"/>
      <c r="B171" s="24"/>
      <c r="C171" s="26"/>
      <c r="D171" s="17"/>
      <c r="E171" s="17"/>
      <c r="F171" s="19" t="str">
        <f aca="false">IF(AND(D171="",E171=""),"",N(E171)-N(D171))</f>
        <v/>
      </c>
      <c r="G171" s="24"/>
    </row>
    <row r="172" customFormat="false" ht="15" hidden="false" customHeight="false" outlineLevel="0" collapsed="false">
      <c r="A172" s="24"/>
      <c r="B172" s="24"/>
      <c r="C172" s="26"/>
      <c r="D172" s="17"/>
      <c r="E172" s="17"/>
      <c r="F172" s="19" t="str">
        <f aca="false">IF(AND(D172="",E172=""),"",N(E172)-N(D172))</f>
        <v/>
      </c>
      <c r="G172" s="24"/>
    </row>
    <row r="173" customFormat="false" ht="15" hidden="false" customHeight="false" outlineLevel="0" collapsed="false">
      <c r="A173" s="24"/>
      <c r="B173" s="24"/>
      <c r="C173" s="26"/>
      <c r="D173" s="17"/>
      <c r="E173" s="17"/>
      <c r="F173" s="19" t="str">
        <f aca="false">IF(AND(D173="",E173=""),"",N(E173)-N(D173))</f>
        <v/>
      </c>
      <c r="G173" s="24"/>
    </row>
    <row r="174" customFormat="false" ht="15" hidden="false" customHeight="false" outlineLevel="0" collapsed="false">
      <c r="A174" s="24"/>
      <c r="B174" s="24"/>
      <c r="C174" s="26"/>
      <c r="D174" s="17"/>
      <c r="E174" s="17"/>
      <c r="F174" s="19" t="str">
        <f aca="false">IF(AND(D174="",E174=""),"",N(E174)-N(D174))</f>
        <v/>
      </c>
      <c r="G174" s="24"/>
    </row>
    <row r="175" customFormat="false" ht="15" hidden="false" customHeight="false" outlineLevel="0" collapsed="false">
      <c r="A175" s="24"/>
      <c r="B175" s="24"/>
      <c r="C175" s="26"/>
      <c r="D175" s="17"/>
      <c r="E175" s="17"/>
      <c r="F175" s="19" t="str">
        <f aca="false">IF(AND(D175="",E175=""),"",N(E175)-N(D175))</f>
        <v/>
      </c>
      <c r="G175" s="24"/>
    </row>
    <row r="176" customFormat="false" ht="15" hidden="false" customHeight="false" outlineLevel="0" collapsed="false">
      <c r="A176" s="24"/>
      <c r="B176" s="24"/>
      <c r="C176" s="26"/>
      <c r="D176" s="17"/>
      <c r="E176" s="17"/>
      <c r="F176" s="19" t="str">
        <f aca="false">IF(AND(D176="",E176=""),"",N(E176)-N(D176))</f>
        <v/>
      </c>
      <c r="G176" s="24"/>
    </row>
    <row r="177" customFormat="false" ht="15" hidden="false" customHeight="false" outlineLevel="0" collapsed="false">
      <c r="A177" s="24"/>
      <c r="B177" s="24"/>
      <c r="C177" s="26"/>
      <c r="D177" s="17"/>
      <c r="E177" s="17"/>
      <c r="F177" s="19" t="str">
        <f aca="false">IF(AND(D177="",E177=""),"",N(E177)-N(D177))</f>
        <v/>
      </c>
      <c r="G177" s="24"/>
    </row>
    <row r="178" customFormat="false" ht="15" hidden="false" customHeight="false" outlineLevel="0" collapsed="false">
      <c r="A178" s="24"/>
      <c r="B178" s="24"/>
      <c r="C178" s="26"/>
      <c r="D178" s="17"/>
      <c r="E178" s="17"/>
      <c r="F178" s="19" t="str">
        <f aca="false">IF(AND(D178="",E178=""),"",N(E178)-N(D178))</f>
        <v/>
      </c>
      <c r="G178" s="24"/>
    </row>
    <row r="179" customFormat="false" ht="15" hidden="false" customHeight="false" outlineLevel="0" collapsed="false">
      <c r="A179" s="24"/>
      <c r="B179" s="24"/>
      <c r="C179" s="26"/>
      <c r="D179" s="17"/>
      <c r="E179" s="17"/>
      <c r="F179" s="19" t="str">
        <f aca="false">IF(AND(D179="",E179=""),"",N(E179)-N(D179))</f>
        <v/>
      </c>
      <c r="G179" s="24"/>
    </row>
    <row r="180" customFormat="false" ht="15" hidden="false" customHeight="false" outlineLevel="0" collapsed="false">
      <c r="A180" s="24"/>
      <c r="B180" s="24"/>
      <c r="C180" s="26"/>
      <c r="D180" s="17"/>
      <c r="E180" s="17"/>
      <c r="F180" s="19" t="str">
        <f aca="false">IF(AND(D180="",E180=""),"",N(E180)-N(D180))</f>
        <v/>
      </c>
      <c r="G180" s="24"/>
    </row>
    <row r="181" customFormat="false" ht="15" hidden="false" customHeight="false" outlineLevel="0" collapsed="false">
      <c r="A181" s="24"/>
      <c r="B181" s="24"/>
      <c r="C181" s="26"/>
      <c r="D181" s="17"/>
      <c r="E181" s="17"/>
      <c r="F181" s="19" t="str">
        <f aca="false">IF(AND(D181="",E181=""),"",N(E181)-N(D181))</f>
        <v/>
      </c>
      <c r="G181" s="24"/>
    </row>
    <row r="182" customFormat="false" ht="15" hidden="false" customHeight="false" outlineLevel="0" collapsed="false">
      <c r="A182" s="24"/>
      <c r="B182" s="24"/>
      <c r="C182" s="26"/>
      <c r="D182" s="17"/>
      <c r="E182" s="17"/>
      <c r="F182" s="19" t="str">
        <f aca="false">IF(AND(D182="",E182=""),"",N(E182)-N(D182))</f>
        <v/>
      </c>
      <c r="G182" s="24"/>
    </row>
    <row r="183" customFormat="false" ht="15" hidden="false" customHeight="false" outlineLevel="0" collapsed="false">
      <c r="A183" s="24"/>
      <c r="B183" s="24"/>
      <c r="C183" s="26"/>
      <c r="D183" s="17"/>
      <c r="E183" s="17"/>
      <c r="F183" s="19" t="str">
        <f aca="false">IF(AND(D183="",E183=""),"",N(E183)-N(D183))</f>
        <v/>
      </c>
      <c r="G183" s="24"/>
    </row>
    <row r="184" customFormat="false" ht="15" hidden="false" customHeight="false" outlineLevel="0" collapsed="false">
      <c r="A184" s="24"/>
      <c r="B184" s="24"/>
      <c r="C184" s="26"/>
      <c r="D184" s="17"/>
      <c r="E184" s="17"/>
      <c r="F184" s="19" t="str">
        <f aca="false">IF(AND(D184="",E184=""),"",N(E184)-N(D184))</f>
        <v/>
      </c>
      <c r="G184" s="24"/>
    </row>
    <row r="185" customFormat="false" ht="15" hidden="false" customHeight="false" outlineLevel="0" collapsed="false">
      <c r="A185" s="24"/>
      <c r="B185" s="24"/>
      <c r="C185" s="26"/>
      <c r="D185" s="17"/>
      <c r="E185" s="17"/>
      <c r="F185" s="19" t="str">
        <f aca="false">IF(AND(D185="",E185=""),"",N(E185)-N(D185))</f>
        <v/>
      </c>
      <c r="G185" s="24"/>
    </row>
    <row r="186" customFormat="false" ht="15" hidden="false" customHeight="false" outlineLevel="0" collapsed="false">
      <c r="A186" s="24"/>
      <c r="B186" s="24"/>
      <c r="C186" s="26"/>
      <c r="D186" s="17"/>
      <c r="E186" s="17"/>
      <c r="F186" s="19" t="str">
        <f aca="false">IF(AND(D186="",E186=""),"",N(E186)-N(D186))</f>
        <v/>
      </c>
      <c r="G186" s="24"/>
    </row>
    <row r="187" customFormat="false" ht="15" hidden="false" customHeight="false" outlineLevel="0" collapsed="false">
      <c r="A187" s="24"/>
      <c r="B187" s="24"/>
      <c r="C187" s="26"/>
      <c r="D187" s="17"/>
      <c r="E187" s="17"/>
      <c r="F187" s="19" t="str">
        <f aca="false">IF(AND(D187="",E187=""),"",N(E187)-N(D187))</f>
        <v/>
      </c>
      <c r="G187" s="24"/>
    </row>
    <row r="188" customFormat="false" ht="15" hidden="false" customHeight="false" outlineLevel="0" collapsed="false">
      <c r="A188" s="24"/>
      <c r="B188" s="24"/>
      <c r="C188" s="26"/>
      <c r="D188" s="17"/>
      <c r="E188" s="17"/>
      <c r="F188" s="19" t="str">
        <f aca="false">IF(AND(D188="",E188=""),"",N(E188)-N(D188))</f>
        <v/>
      </c>
      <c r="G188" s="24"/>
    </row>
    <row r="189" customFormat="false" ht="15" hidden="false" customHeight="false" outlineLevel="0" collapsed="false">
      <c r="A189" s="24"/>
      <c r="B189" s="24"/>
      <c r="C189" s="26"/>
      <c r="D189" s="17"/>
      <c r="E189" s="17"/>
      <c r="F189" s="19" t="str">
        <f aca="false">IF(AND(D189="",E189=""),"",N(E189)-N(D189))</f>
        <v/>
      </c>
      <c r="G189" s="24"/>
    </row>
    <row r="190" customFormat="false" ht="15" hidden="false" customHeight="false" outlineLevel="0" collapsed="false">
      <c r="A190" s="24"/>
      <c r="B190" s="24"/>
      <c r="C190" s="26"/>
      <c r="D190" s="17"/>
      <c r="E190" s="17"/>
      <c r="F190" s="19" t="str">
        <f aca="false">IF(AND(D190="",E190=""),"",N(E190)-N(D190))</f>
        <v/>
      </c>
      <c r="G190" s="24"/>
    </row>
    <row r="191" customFormat="false" ht="15" hidden="false" customHeight="false" outlineLevel="0" collapsed="false">
      <c r="A191" s="24"/>
      <c r="B191" s="24"/>
      <c r="C191" s="26"/>
      <c r="D191" s="17"/>
      <c r="E191" s="17"/>
      <c r="F191" s="19" t="str">
        <f aca="false">IF(AND(D191="",E191=""),"",N(E191)-N(D191))</f>
        <v/>
      </c>
      <c r="G191" s="24"/>
    </row>
    <row r="192" customFormat="false" ht="15" hidden="false" customHeight="false" outlineLevel="0" collapsed="false">
      <c r="A192" s="24"/>
      <c r="B192" s="24"/>
      <c r="C192" s="26"/>
      <c r="D192" s="17"/>
      <c r="E192" s="17"/>
      <c r="F192" s="19" t="str">
        <f aca="false">IF(AND(D192="",E192=""),"",N(E192)-N(D192))</f>
        <v/>
      </c>
      <c r="G192" s="24"/>
    </row>
    <row r="193" customFormat="false" ht="15" hidden="false" customHeight="false" outlineLevel="0" collapsed="false">
      <c r="A193" s="24"/>
      <c r="B193" s="24"/>
      <c r="C193" s="26"/>
      <c r="D193" s="17"/>
      <c r="E193" s="17"/>
      <c r="F193" s="19" t="str">
        <f aca="false">IF(AND(D193="",E193=""),"",N(E193)-N(D193))</f>
        <v/>
      </c>
      <c r="G193" s="24"/>
    </row>
    <row r="194" customFormat="false" ht="15" hidden="false" customHeight="false" outlineLevel="0" collapsed="false">
      <c r="A194" s="24"/>
      <c r="B194" s="24"/>
      <c r="C194" s="26"/>
      <c r="D194" s="17"/>
      <c r="E194" s="17"/>
      <c r="F194" s="19" t="str">
        <f aca="false">IF(AND(D194="",E194=""),"",N(E194)-N(D194))</f>
        <v/>
      </c>
      <c r="G194" s="24"/>
    </row>
    <row r="195" customFormat="false" ht="15" hidden="false" customHeight="false" outlineLevel="0" collapsed="false">
      <c r="A195" s="24"/>
      <c r="B195" s="24"/>
      <c r="C195" s="26"/>
      <c r="D195" s="17"/>
      <c r="E195" s="17"/>
      <c r="F195" s="19" t="str">
        <f aca="false">IF(AND(D195="",E195=""),"",N(E195)-N(D195))</f>
        <v/>
      </c>
      <c r="G195" s="24"/>
    </row>
    <row r="196" customFormat="false" ht="15" hidden="false" customHeight="false" outlineLevel="0" collapsed="false">
      <c r="A196" s="24"/>
      <c r="B196" s="24"/>
      <c r="C196" s="26"/>
      <c r="D196" s="17"/>
      <c r="E196" s="17"/>
      <c r="F196" s="19" t="str">
        <f aca="false">IF(AND(D196="",E196=""),"",N(E196)-N(D196))</f>
        <v/>
      </c>
      <c r="G196" s="24"/>
    </row>
    <row r="197" customFormat="false" ht="15" hidden="false" customHeight="false" outlineLevel="0" collapsed="false">
      <c r="A197" s="24"/>
      <c r="B197" s="24"/>
      <c r="C197" s="26"/>
      <c r="D197" s="17"/>
      <c r="E197" s="17"/>
      <c r="F197" s="19" t="str">
        <f aca="false">IF(AND(D197="",E197=""),"",N(E197)-N(D197))</f>
        <v/>
      </c>
      <c r="G197" s="24"/>
    </row>
    <row r="198" customFormat="false" ht="15" hidden="false" customHeight="false" outlineLevel="0" collapsed="false">
      <c r="A198" s="24"/>
      <c r="B198" s="24"/>
      <c r="C198" s="26"/>
      <c r="D198" s="17"/>
      <c r="E198" s="17"/>
      <c r="F198" s="19" t="str">
        <f aca="false">IF(AND(D198="",E198=""),"",N(E198)-N(D198))</f>
        <v/>
      </c>
      <c r="G198" s="24"/>
    </row>
    <row r="199" customFormat="false" ht="15" hidden="false" customHeight="false" outlineLevel="0" collapsed="false">
      <c r="A199" s="24"/>
      <c r="B199" s="24"/>
      <c r="C199" s="26"/>
      <c r="D199" s="17"/>
      <c r="E199" s="17"/>
      <c r="F199" s="19" t="str">
        <f aca="false">IF(AND(D199="",E199=""),"",N(E199)-N(D199))</f>
        <v/>
      </c>
      <c r="G199" s="24"/>
    </row>
    <row r="200" customFormat="false" ht="15" hidden="false" customHeight="false" outlineLevel="0" collapsed="false">
      <c r="A200" s="24"/>
      <c r="B200" s="24"/>
      <c r="C200" s="26"/>
      <c r="D200" s="17"/>
      <c r="E200" s="17"/>
      <c r="F200" s="19" t="str">
        <f aca="false">IF(AND(D200="",E200=""),"",N(E200)-N(D200))</f>
        <v/>
      </c>
      <c r="G200" s="24"/>
    </row>
    <row r="201" customFormat="false" ht="15" hidden="false" customHeight="false" outlineLevel="0" collapsed="false">
      <c r="A201" s="24"/>
      <c r="B201" s="24"/>
      <c r="C201" s="26"/>
      <c r="D201" s="17"/>
      <c r="E201" s="17"/>
      <c r="F201" s="19" t="str">
        <f aca="false">IF(AND(D201="",E201=""),"",N(E201)-N(D201))</f>
        <v/>
      </c>
      <c r="G201" s="24"/>
    </row>
    <row r="202" customFormat="false" ht="15" hidden="false" customHeight="false" outlineLevel="0" collapsed="false">
      <c r="A202" s="24"/>
      <c r="B202" s="24"/>
      <c r="C202" s="26"/>
      <c r="D202" s="17"/>
      <c r="E202" s="17"/>
      <c r="F202" s="19" t="str">
        <f aca="false">IF(AND(D202="",E202=""),"",N(E202)-N(D202))</f>
        <v/>
      </c>
      <c r="G202" s="24"/>
    </row>
    <row r="203" customFormat="false" ht="15" hidden="false" customHeight="false" outlineLevel="0" collapsed="false">
      <c r="A203" s="24"/>
      <c r="B203" s="24"/>
      <c r="C203" s="26"/>
      <c r="D203" s="17"/>
      <c r="E203" s="17"/>
      <c r="F203" s="19" t="str">
        <f aca="false">IF(AND(D203="",E203=""),"",N(E203)-N(D203))</f>
        <v/>
      </c>
      <c r="G203" s="24"/>
    </row>
    <row r="204" customFormat="false" ht="15" hidden="false" customHeight="false" outlineLevel="0" collapsed="false">
      <c r="A204" s="24"/>
      <c r="B204" s="24"/>
      <c r="C204" s="26"/>
      <c r="D204" s="17"/>
      <c r="E204" s="17"/>
      <c r="F204" s="19" t="str">
        <f aca="false">IF(AND(D204="",E204=""),"",N(E204)-N(D204))</f>
        <v/>
      </c>
      <c r="G204" s="24"/>
    </row>
    <row r="205" customFormat="false" ht="15" hidden="false" customHeight="false" outlineLevel="0" collapsed="false">
      <c r="A205" s="24"/>
      <c r="B205" s="24"/>
      <c r="C205" s="26"/>
      <c r="D205" s="17"/>
      <c r="E205" s="17"/>
      <c r="F205" s="19" t="str">
        <f aca="false">IF(AND(D205="",E205=""),"",N(E205)-N(D205))</f>
        <v/>
      </c>
      <c r="G205" s="24"/>
    </row>
  </sheetData>
  <dataValidations count="3">
    <dataValidation allowBlank="true" error="Informe um valor numérico maior ou igual a zero." errorStyle="stop" errorTitle="Valor inválido" operator="greaterThanOrEqual" showDropDown="false" showErrorMessage="true" showInputMessage="false" sqref="D6:E205" type="decimal">
      <formula1>0</formula1>
      <formula2>0</formula2>
    </dataValidation>
    <dataValidation allowBlank="true" error="Escolha uma opção da lista." errorStyle="stop" errorTitle="Valor inválido" operator="between" prompt="Escolha o grupo do bem." promptTitle="Dica" showDropDown="false" showErrorMessage="true" showInputMessage="true" sqref="A6:A205" type="list">
      <formula1>Listas!$C$6:$C$12</formula1>
      <formula2>0</formula2>
    </dataValidation>
    <dataValidation allowBlank="true" error="Informe uma data válida (dd/mm/aaaa)." errorStyle="stop" errorTitle="Data inválida" operator="between" showDropDown="false" showErrorMessage="true" showInputMessage="false" sqref="C6:C205" type="date">
      <formula1>DATE(1990,1,1)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26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110</v>
      </c>
    </row>
    <row r="3" customFormat="false" ht="15" hidden="false" customHeight="false" outlineLevel="0" collapsed="false">
      <c r="A3" s="11" t="s">
        <v>111</v>
      </c>
    </row>
    <row r="5" customFormat="false" ht="30" hidden="false" customHeight="true" outlineLevel="0" collapsed="false">
      <c r="A5" s="23" t="s">
        <v>112</v>
      </c>
      <c r="B5" s="23" t="s">
        <v>113</v>
      </c>
      <c r="C5" s="23" t="s">
        <v>103</v>
      </c>
      <c r="D5" s="23" t="s">
        <v>114</v>
      </c>
      <c r="E5" s="23" t="s">
        <v>115</v>
      </c>
      <c r="F5" s="23" t="s">
        <v>87</v>
      </c>
    </row>
    <row r="6" customFormat="false" ht="15" hidden="false" customHeight="false" outlineLevel="0" collapsed="false">
      <c r="A6" s="24" t="s">
        <v>116</v>
      </c>
      <c r="B6" s="25" t="s">
        <v>117</v>
      </c>
      <c r="C6" s="24" t="s">
        <v>118</v>
      </c>
      <c r="D6" s="17" t="n">
        <v>20000</v>
      </c>
      <c r="E6" s="17" t="n">
        <v>15000</v>
      </c>
      <c r="F6" s="24" t="s">
        <v>90</v>
      </c>
    </row>
    <row r="7" customFormat="false" ht="15" hidden="false" customHeight="false" outlineLevel="0" collapsed="false">
      <c r="A7" s="24"/>
      <c r="B7" s="25"/>
      <c r="C7" s="24"/>
      <c r="D7" s="17"/>
      <c r="E7" s="17"/>
      <c r="F7" s="24"/>
    </row>
    <row r="8" customFormat="false" ht="15" hidden="false" customHeight="false" outlineLevel="0" collapsed="false">
      <c r="A8" s="24"/>
      <c r="B8" s="25"/>
      <c r="C8" s="24"/>
      <c r="D8" s="17"/>
      <c r="E8" s="17"/>
      <c r="F8" s="24"/>
    </row>
    <row r="9" customFormat="false" ht="15" hidden="false" customHeight="false" outlineLevel="0" collapsed="false">
      <c r="A9" s="24"/>
      <c r="B9" s="25"/>
      <c r="C9" s="24"/>
      <c r="D9" s="17"/>
      <c r="E9" s="17"/>
      <c r="F9" s="24"/>
    </row>
    <row r="10" customFormat="false" ht="15" hidden="false" customHeight="false" outlineLevel="0" collapsed="false">
      <c r="A10" s="24"/>
      <c r="B10" s="25"/>
      <c r="C10" s="24"/>
      <c r="D10" s="17"/>
      <c r="E10" s="17"/>
      <c r="F10" s="24"/>
    </row>
    <row r="11" customFormat="false" ht="15" hidden="false" customHeight="false" outlineLevel="0" collapsed="false">
      <c r="A11" s="24"/>
      <c r="B11" s="25"/>
      <c r="C11" s="24"/>
      <c r="D11" s="17"/>
      <c r="E11" s="17"/>
      <c r="F11" s="24"/>
    </row>
    <row r="12" customFormat="false" ht="15" hidden="false" customHeight="false" outlineLevel="0" collapsed="false">
      <c r="A12" s="24"/>
      <c r="B12" s="25"/>
      <c r="C12" s="24"/>
      <c r="D12" s="17"/>
      <c r="E12" s="17"/>
      <c r="F12" s="24"/>
    </row>
    <row r="13" customFormat="false" ht="15" hidden="false" customHeight="false" outlineLevel="0" collapsed="false">
      <c r="A13" s="24"/>
      <c r="B13" s="25"/>
      <c r="C13" s="24"/>
      <c r="D13" s="17"/>
      <c r="E13" s="17"/>
      <c r="F13" s="24"/>
    </row>
    <row r="14" customFormat="false" ht="15" hidden="false" customHeight="false" outlineLevel="0" collapsed="false">
      <c r="A14" s="24"/>
      <c r="B14" s="25"/>
      <c r="C14" s="24"/>
      <c r="D14" s="17"/>
      <c r="E14" s="17"/>
      <c r="F14" s="24"/>
    </row>
    <row r="15" customFormat="false" ht="15" hidden="false" customHeight="false" outlineLevel="0" collapsed="false">
      <c r="A15" s="24"/>
      <c r="B15" s="25"/>
      <c r="C15" s="24"/>
      <c r="D15" s="17"/>
      <c r="E15" s="17"/>
      <c r="F15" s="24"/>
    </row>
    <row r="16" customFormat="false" ht="15" hidden="false" customHeight="false" outlineLevel="0" collapsed="false">
      <c r="A16" s="24"/>
      <c r="B16" s="25"/>
      <c r="C16" s="24"/>
      <c r="D16" s="17"/>
      <c r="E16" s="17"/>
      <c r="F16" s="24"/>
    </row>
    <row r="17" customFormat="false" ht="15" hidden="false" customHeight="false" outlineLevel="0" collapsed="false">
      <c r="A17" s="24"/>
      <c r="B17" s="25"/>
      <c r="C17" s="24"/>
      <c r="D17" s="17"/>
      <c r="E17" s="17"/>
      <c r="F17" s="24"/>
    </row>
    <row r="18" customFormat="false" ht="15" hidden="false" customHeight="false" outlineLevel="0" collapsed="false">
      <c r="A18" s="24"/>
      <c r="B18" s="25"/>
      <c r="C18" s="24"/>
      <c r="D18" s="17"/>
      <c r="E18" s="17"/>
      <c r="F18" s="24"/>
    </row>
    <row r="19" customFormat="false" ht="15" hidden="false" customHeight="false" outlineLevel="0" collapsed="false">
      <c r="A19" s="24"/>
      <c r="B19" s="25"/>
      <c r="C19" s="24"/>
      <c r="D19" s="17"/>
      <c r="E19" s="17"/>
      <c r="F19" s="24"/>
    </row>
    <row r="20" customFormat="false" ht="15" hidden="false" customHeight="false" outlineLevel="0" collapsed="false">
      <c r="A20" s="24"/>
      <c r="B20" s="25"/>
      <c r="C20" s="24"/>
      <c r="D20" s="17"/>
      <c r="E20" s="17"/>
      <c r="F20" s="24"/>
    </row>
    <row r="21" customFormat="false" ht="15" hidden="false" customHeight="false" outlineLevel="0" collapsed="false">
      <c r="A21" s="24"/>
      <c r="B21" s="25"/>
      <c r="C21" s="24"/>
      <c r="D21" s="17"/>
      <c r="E21" s="17"/>
      <c r="F21" s="24"/>
    </row>
    <row r="22" customFormat="false" ht="15" hidden="false" customHeight="false" outlineLevel="0" collapsed="false">
      <c r="A22" s="24"/>
      <c r="B22" s="25"/>
      <c r="C22" s="24"/>
      <c r="D22" s="17"/>
      <c r="E22" s="17"/>
      <c r="F22" s="24"/>
    </row>
    <row r="23" customFormat="false" ht="15" hidden="false" customHeight="false" outlineLevel="0" collapsed="false">
      <c r="A23" s="24"/>
      <c r="B23" s="25"/>
      <c r="C23" s="24"/>
      <c r="D23" s="17"/>
      <c r="E23" s="17"/>
      <c r="F23" s="24"/>
    </row>
    <row r="24" customFormat="false" ht="15" hidden="false" customHeight="false" outlineLevel="0" collapsed="false">
      <c r="A24" s="24"/>
      <c r="B24" s="25"/>
      <c r="C24" s="24"/>
      <c r="D24" s="17"/>
      <c r="E24" s="17"/>
      <c r="F24" s="24"/>
    </row>
    <row r="25" customFormat="false" ht="15" hidden="false" customHeight="false" outlineLevel="0" collapsed="false">
      <c r="A25" s="24"/>
      <c r="B25" s="25"/>
      <c r="C25" s="24"/>
      <c r="D25" s="17"/>
      <c r="E25" s="17"/>
      <c r="F25" s="24"/>
    </row>
    <row r="26" customFormat="false" ht="15" hidden="false" customHeight="false" outlineLevel="0" collapsed="false">
      <c r="A26" s="24"/>
      <c r="B26" s="25"/>
      <c r="C26" s="24"/>
      <c r="D26" s="17"/>
      <c r="E26" s="17"/>
      <c r="F26" s="24"/>
    </row>
    <row r="27" customFormat="false" ht="15" hidden="false" customHeight="false" outlineLevel="0" collapsed="false">
      <c r="A27" s="24"/>
      <c r="B27" s="25"/>
      <c r="C27" s="24"/>
      <c r="D27" s="17"/>
      <c r="E27" s="17"/>
      <c r="F27" s="24"/>
    </row>
    <row r="28" customFormat="false" ht="15" hidden="false" customHeight="false" outlineLevel="0" collapsed="false">
      <c r="A28" s="24"/>
      <c r="B28" s="25"/>
      <c r="C28" s="24"/>
      <c r="D28" s="17"/>
      <c r="E28" s="17"/>
      <c r="F28" s="24"/>
    </row>
    <row r="29" customFormat="false" ht="15" hidden="false" customHeight="false" outlineLevel="0" collapsed="false">
      <c r="A29" s="24"/>
      <c r="B29" s="25"/>
      <c r="C29" s="24"/>
      <c r="D29" s="17"/>
      <c r="E29" s="17"/>
      <c r="F29" s="24"/>
    </row>
    <row r="30" customFormat="false" ht="15" hidden="false" customHeight="false" outlineLevel="0" collapsed="false">
      <c r="A30" s="24"/>
      <c r="B30" s="25"/>
      <c r="C30" s="24"/>
      <c r="D30" s="17"/>
      <c r="E30" s="17"/>
      <c r="F30" s="24"/>
    </row>
    <row r="31" customFormat="false" ht="15" hidden="false" customHeight="false" outlineLevel="0" collapsed="false">
      <c r="A31" s="24"/>
      <c r="B31" s="25"/>
      <c r="C31" s="24"/>
      <c r="D31" s="17"/>
      <c r="E31" s="17"/>
      <c r="F31" s="24"/>
    </row>
    <row r="32" customFormat="false" ht="15" hidden="false" customHeight="false" outlineLevel="0" collapsed="false">
      <c r="A32" s="24"/>
      <c r="B32" s="25"/>
      <c r="C32" s="24"/>
      <c r="D32" s="17"/>
      <c r="E32" s="17"/>
      <c r="F32" s="24"/>
    </row>
    <row r="33" customFormat="false" ht="15" hidden="false" customHeight="false" outlineLevel="0" collapsed="false">
      <c r="A33" s="24"/>
      <c r="B33" s="25"/>
      <c r="C33" s="24"/>
      <c r="D33" s="17"/>
      <c r="E33" s="17"/>
      <c r="F33" s="24"/>
    </row>
    <row r="34" customFormat="false" ht="15" hidden="false" customHeight="false" outlineLevel="0" collapsed="false">
      <c r="A34" s="24"/>
      <c r="B34" s="25"/>
      <c r="C34" s="24"/>
      <c r="D34" s="17"/>
      <c r="E34" s="17"/>
      <c r="F34" s="24"/>
    </row>
    <row r="35" customFormat="false" ht="15" hidden="false" customHeight="false" outlineLevel="0" collapsed="false">
      <c r="A35" s="24"/>
      <c r="B35" s="25"/>
      <c r="C35" s="24"/>
      <c r="D35" s="17"/>
      <c r="E35" s="17"/>
      <c r="F35" s="24"/>
    </row>
    <row r="36" customFormat="false" ht="15" hidden="false" customHeight="false" outlineLevel="0" collapsed="false">
      <c r="A36" s="24"/>
      <c r="B36" s="25"/>
      <c r="C36" s="24"/>
      <c r="D36" s="17"/>
      <c r="E36" s="17"/>
      <c r="F36" s="24"/>
    </row>
    <row r="37" customFormat="false" ht="15" hidden="false" customHeight="false" outlineLevel="0" collapsed="false">
      <c r="A37" s="24"/>
      <c r="B37" s="25"/>
      <c r="C37" s="24"/>
      <c r="D37" s="17"/>
      <c r="E37" s="17"/>
      <c r="F37" s="24"/>
    </row>
    <row r="38" customFormat="false" ht="15" hidden="false" customHeight="false" outlineLevel="0" collapsed="false">
      <c r="A38" s="24"/>
      <c r="B38" s="25"/>
      <c r="C38" s="24"/>
      <c r="D38" s="17"/>
      <c r="E38" s="17"/>
      <c r="F38" s="24"/>
    </row>
    <row r="39" customFormat="false" ht="15" hidden="false" customHeight="false" outlineLevel="0" collapsed="false">
      <c r="A39" s="24"/>
      <c r="B39" s="25"/>
      <c r="C39" s="24"/>
      <c r="D39" s="17"/>
      <c r="E39" s="17"/>
      <c r="F39" s="24"/>
    </row>
    <row r="40" customFormat="false" ht="15" hidden="false" customHeight="false" outlineLevel="0" collapsed="false">
      <c r="A40" s="24"/>
      <c r="B40" s="25"/>
      <c r="C40" s="24"/>
      <c r="D40" s="17"/>
      <c r="E40" s="17"/>
      <c r="F40" s="24"/>
    </row>
    <row r="41" customFormat="false" ht="15" hidden="false" customHeight="false" outlineLevel="0" collapsed="false">
      <c r="A41" s="24"/>
      <c r="B41" s="25"/>
      <c r="C41" s="24"/>
      <c r="D41" s="17"/>
      <c r="E41" s="17"/>
      <c r="F41" s="24"/>
    </row>
    <row r="42" customFormat="false" ht="15" hidden="false" customHeight="false" outlineLevel="0" collapsed="false">
      <c r="A42" s="24"/>
      <c r="B42" s="25"/>
      <c r="C42" s="24"/>
      <c r="D42" s="17"/>
      <c r="E42" s="17"/>
      <c r="F42" s="24"/>
    </row>
    <row r="43" customFormat="false" ht="15" hidden="false" customHeight="false" outlineLevel="0" collapsed="false">
      <c r="A43" s="24"/>
      <c r="B43" s="25"/>
      <c r="C43" s="24"/>
      <c r="D43" s="17"/>
      <c r="E43" s="17"/>
      <c r="F43" s="24"/>
    </row>
    <row r="44" customFormat="false" ht="15" hidden="false" customHeight="false" outlineLevel="0" collapsed="false">
      <c r="A44" s="24"/>
      <c r="B44" s="25"/>
      <c r="C44" s="24"/>
      <c r="D44" s="17"/>
      <c r="E44" s="17"/>
      <c r="F44" s="24"/>
    </row>
    <row r="45" customFormat="false" ht="15" hidden="false" customHeight="false" outlineLevel="0" collapsed="false">
      <c r="A45" s="24"/>
      <c r="B45" s="25"/>
      <c r="C45" s="24"/>
      <c r="D45" s="17"/>
      <c r="E45" s="17"/>
      <c r="F45" s="24"/>
    </row>
    <row r="46" customFormat="false" ht="15" hidden="false" customHeight="false" outlineLevel="0" collapsed="false">
      <c r="A46" s="24"/>
      <c r="B46" s="25"/>
      <c r="C46" s="24"/>
      <c r="D46" s="17"/>
      <c r="E46" s="17"/>
      <c r="F46" s="24"/>
    </row>
    <row r="47" customFormat="false" ht="15" hidden="false" customHeight="false" outlineLevel="0" collapsed="false">
      <c r="A47" s="24"/>
      <c r="B47" s="25"/>
      <c r="C47" s="24"/>
      <c r="D47" s="17"/>
      <c r="E47" s="17"/>
      <c r="F47" s="24"/>
    </row>
    <row r="48" customFormat="false" ht="15" hidden="false" customHeight="false" outlineLevel="0" collapsed="false">
      <c r="A48" s="24"/>
      <c r="B48" s="25"/>
      <c r="C48" s="24"/>
      <c r="D48" s="17"/>
      <c r="E48" s="17"/>
      <c r="F48" s="24"/>
    </row>
    <row r="49" customFormat="false" ht="15" hidden="false" customHeight="false" outlineLevel="0" collapsed="false">
      <c r="A49" s="24"/>
      <c r="B49" s="25"/>
      <c r="C49" s="24"/>
      <c r="D49" s="17"/>
      <c r="E49" s="17"/>
      <c r="F49" s="24"/>
    </row>
    <row r="50" customFormat="false" ht="15" hidden="false" customHeight="false" outlineLevel="0" collapsed="false">
      <c r="A50" s="24"/>
      <c r="B50" s="25"/>
      <c r="C50" s="24"/>
      <c r="D50" s="17"/>
      <c r="E50" s="17"/>
      <c r="F50" s="24"/>
    </row>
    <row r="51" customFormat="false" ht="15" hidden="false" customHeight="false" outlineLevel="0" collapsed="false">
      <c r="A51" s="24"/>
      <c r="B51" s="25"/>
      <c r="C51" s="24"/>
      <c r="D51" s="17"/>
      <c r="E51" s="17"/>
      <c r="F51" s="24"/>
    </row>
    <row r="52" customFormat="false" ht="15" hidden="false" customHeight="false" outlineLevel="0" collapsed="false">
      <c r="A52" s="24"/>
      <c r="B52" s="25"/>
      <c r="C52" s="24"/>
      <c r="D52" s="17"/>
      <c r="E52" s="17"/>
      <c r="F52" s="24"/>
    </row>
    <row r="53" customFormat="false" ht="15" hidden="false" customHeight="false" outlineLevel="0" collapsed="false">
      <c r="A53" s="24"/>
      <c r="B53" s="25"/>
      <c r="C53" s="24"/>
      <c r="D53" s="17"/>
      <c r="E53" s="17"/>
      <c r="F53" s="24"/>
    </row>
    <row r="54" customFormat="false" ht="15" hidden="false" customHeight="false" outlineLevel="0" collapsed="false">
      <c r="A54" s="24"/>
      <c r="B54" s="25"/>
      <c r="C54" s="24"/>
      <c r="D54" s="17"/>
      <c r="E54" s="17"/>
      <c r="F54" s="24"/>
    </row>
    <row r="55" customFormat="false" ht="15" hidden="false" customHeight="false" outlineLevel="0" collapsed="false">
      <c r="A55" s="24"/>
      <c r="B55" s="25"/>
      <c r="C55" s="24"/>
      <c r="D55" s="17"/>
      <c r="E55" s="17"/>
      <c r="F55" s="24"/>
    </row>
    <row r="56" customFormat="false" ht="15" hidden="false" customHeight="false" outlineLevel="0" collapsed="false">
      <c r="A56" s="24"/>
      <c r="B56" s="25"/>
      <c r="C56" s="24"/>
      <c r="D56" s="17"/>
      <c r="E56" s="17"/>
      <c r="F56" s="24"/>
    </row>
    <row r="57" customFormat="false" ht="15" hidden="false" customHeight="false" outlineLevel="0" collapsed="false">
      <c r="A57" s="24"/>
      <c r="B57" s="25"/>
      <c r="C57" s="24"/>
      <c r="D57" s="17"/>
      <c r="E57" s="17"/>
      <c r="F57" s="24"/>
    </row>
    <row r="58" customFormat="false" ht="15" hidden="false" customHeight="false" outlineLevel="0" collapsed="false">
      <c r="A58" s="24"/>
      <c r="B58" s="25"/>
      <c r="C58" s="24"/>
      <c r="D58" s="17"/>
      <c r="E58" s="17"/>
      <c r="F58" s="24"/>
    </row>
    <row r="59" customFormat="false" ht="15" hidden="false" customHeight="false" outlineLevel="0" collapsed="false">
      <c r="A59" s="24"/>
      <c r="B59" s="25"/>
      <c r="C59" s="24"/>
      <c r="D59" s="17"/>
      <c r="E59" s="17"/>
      <c r="F59" s="24"/>
    </row>
    <row r="60" customFormat="false" ht="15" hidden="false" customHeight="false" outlineLevel="0" collapsed="false">
      <c r="A60" s="24"/>
      <c r="B60" s="25"/>
      <c r="C60" s="24"/>
      <c r="D60" s="17"/>
      <c r="E60" s="17"/>
      <c r="F60" s="24"/>
    </row>
    <row r="61" customFormat="false" ht="15" hidden="false" customHeight="false" outlineLevel="0" collapsed="false">
      <c r="A61" s="24"/>
      <c r="B61" s="25"/>
      <c r="C61" s="24"/>
      <c r="D61" s="17"/>
      <c r="E61" s="17"/>
      <c r="F61" s="24"/>
    </row>
    <row r="62" customFormat="false" ht="15" hidden="false" customHeight="false" outlineLevel="0" collapsed="false">
      <c r="A62" s="24"/>
      <c r="B62" s="25"/>
      <c r="C62" s="24"/>
      <c r="D62" s="17"/>
      <c r="E62" s="17"/>
      <c r="F62" s="24"/>
    </row>
    <row r="63" customFormat="false" ht="15" hidden="false" customHeight="false" outlineLevel="0" collapsed="false">
      <c r="A63" s="24"/>
      <c r="B63" s="25"/>
      <c r="C63" s="24"/>
      <c r="D63" s="17"/>
      <c r="E63" s="17"/>
      <c r="F63" s="24"/>
    </row>
    <row r="64" customFormat="false" ht="15" hidden="false" customHeight="false" outlineLevel="0" collapsed="false">
      <c r="A64" s="24"/>
      <c r="B64" s="25"/>
      <c r="C64" s="24"/>
      <c r="D64" s="17"/>
      <c r="E64" s="17"/>
      <c r="F64" s="24"/>
    </row>
    <row r="65" customFormat="false" ht="15" hidden="false" customHeight="false" outlineLevel="0" collapsed="false">
      <c r="A65" s="24"/>
      <c r="B65" s="25"/>
      <c r="C65" s="24"/>
      <c r="D65" s="17"/>
      <c r="E65" s="17"/>
      <c r="F65" s="24"/>
    </row>
    <row r="66" customFormat="false" ht="15" hidden="false" customHeight="false" outlineLevel="0" collapsed="false">
      <c r="A66" s="24"/>
      <c r="B66" s="25"/>
      <c r="C66" s="24"/>
      <c r="D66" s="17"/>
      <c r="E66" s="17"/>
      <c r="F66" s="24"/>
    </row>
    <row r="67" customFormat="false" ht="15" hidden="false" customHeight="false" outlineLevel="0" collapsed="false">
      <c r="A67" s="24"/>
      <c r="B67" s="25"/>
      <c r="C67" s="24"/>
      <c r="D67" s="17"/>
      <c r="E67" s="17"/>
      <c r="F67" s="24"/>
    </row>
    <row r="68" customFormat="false" ht="15" hidden="false" customHeight="false" outlineLevel="0" collapsed="false">
      <c r="A68" s="24"/>
      <c r="B68" s="25"/>
      <c r="C68" s="24"/>
      <c r="D68" s="17"/>
      <c r="E68" s="17"/>
      <c r="F68" s="24"/>
    </row>
    <row r="69" customFormat="false" ht="15" hidden="false" customHeight="false" outlineLevel="0" collapsed="false">
      <c r="A69" s="24"/>
      <c r="B69" s="25"/>
      <c r="C69" s="24"/>
      <c r="D69" s="17"/>
      <c r="E69" s="17"/>
      <c r="F69" s="24"/>
    </row>
    <row r="70" customFormat="false" ht="15" hidden="false" customHeight="false" outlineLevel="0" collapsed="false">
      <c r="A70" s="24"/>
      <c r="B70" s="25"/>
      <c r="C70" s="24"/>
      <c r="D70" s="17"/>
      <c r="E70" s="17"/>
      <c r="F70" s="24"/>
    </row>
    <row r="71" customFormat="false" ht="15" hidden="false" customHeight="false" outlineLevel="0" collapsed="false">
      <c r="A71" s="24"/>
      <c r="B71" s="25"/>
      <c r="C71" s="24"/>
      <c r="D71" s="17"/>
      <c r="E71" s="17"/>
      <c r="F71" s="24"/>
    </row>
    <row r="72" customFormat="false" ht="15" hidden="false" customHeight="false" outlineLevel="0" collapsed="false">
      <c r="A72" s="24"/>
      <c r="B72" s="25"/>
      <c r="C72" s="24"/>
      <c r="D72" s="17"/>
      <c r="E72" s="17"/>
      <c r="F72" s="24"/>
    </row>
    <row r="73" customFormat="false" ht="15" hidden="false" customHeight="false" outlineLevel="0" collapsed="false">
      <c r="A73" s="24"/>
      <c r="B73" s="25"/>
      <c r="C73" s="24"/>
      <c r="D73" s="17"/>
      <c r="E73" s="17"/>
      <c r="F73" s="24"/>
    </row>
    <row r="74" customFormat="false" ht="15" hidden="false" customHeight="false" outlineLevel="0" collapsed="false">
      <c r="A74" s="24"/>
      <c r="B74" s="25"/>
      <c r="C74" s="24"/>
      <c r="D74" s="17"/>
      <c r="E74" s="17"/>
      <c r="F74" s="24"/>
    </row>
    <row r="75" customFormat="false" ht="15" hidden="false" customHeight="false" outlineLevel="0" collapsed="false">
      <c r="A75" s="24"/>
      <c r="B75" s="25"/>
      <c r="C75" s="24"/>
      <c r="D75" s="17"/>
      <c r="E75" s="17"/>
      <c r="F75" s="24"/>
    </row>
    <row r="76" customFormat="false" ht="15" hidden="false" customHeight="false" outlineLevel="0" collapsed="false">
      <c r="A76" s="24"/>
      <c r="B76" s="25"/>
      <c r="C76" s="24"/>
      <c r="D76" s="17"/>
      <c r="E76" s="17"/>
      <c r="F76" s="24"/>
    </row>
    <row r="77" customFormat="false" ht="15" hidden="false" customHeight="false" outlineLevel="0" collapsed="false">
      <c r="A77" s="24"/>
      <c r="B77" s="25"/>
      <c r="C77" s="24"/>
      <c r="D77" s="17"/>
      <c r="E77" s="17"/>
      <c r="F77" s="24"/>
    </row>
    <row r="78" customFormat="false" ht="15" hidden="false" customHeight="false" outlineLevel="0" collapsed="false">
      <c r="A78" s="24"/>
      <c r="B78" s="25"/>
      <c r="C78" s="24"/>
      <c r="D78" s="17"/>
      <c r="E78" s="17"/>
      <c r="F78" s="24"/>
    </row>
    <row r="79" customFormat="false" ht="15" hidden="false" customHeight="false" outlineLevel="0" collapsed="false">
      <c r="A79" s="24"/>
      <c r="B79" s="25"/>
      <c r="C79" s="24"/>
      <c r="D79" s="17"/>
      <c r="E79" s="17"/>
      <c r="F79" s="24"/>
    </row>
    <row r="80" customFormat="false" ht="15" hidden="false" customHeight="false" outlineLevel="0" collapsed="false">
      <c r="A80" s="24"/>
      <c r="B80" s="25"/>
      <c r="C80" s="24"/>
      <c r="D80" s="17"/>
      <c r="E80" s="17"/>
      <c r="F80" s="24"/>
    </row>
    <row r="81" customFormat="false" ht="15" hidden="false" customHeight="false" outlineLevel="0" collapsed="false">
      <c r="A81" s="24"/>
      <c r="B81" s="25"/>
      <c r="C81" s="24"/>
      <c r="D81" s="17"/>
      <c r="E81" s="17"/>
      <c r="F81" s="24"/>
    </row>
    <row r="82" customFormat="false" ht="15" hidden="false" customHeight="false" outlineLevel="0" collapsed="false">
      <c r="A82" s="24"/>
      <c r="B82" s="25"/>
      <c r="C82" s="24"/>
      <c r="D82" s="17"/>
      <c r="E82" s="17"/>
      <c r="F82" s="24"/>
    </row>
    <row r="83" customFormat="false" ht="15" hidden="false" customHeight="false" outlineLevel="0" collapsed="false">
      <c r="A83" s="24"/>
      <c r="B83" s="25"/>
      <c r="C83" s="24"/>
      <c r="D83" s="17"/>
      <c r="E83" s="17"/>
      <c r="F83" s="24"/>
    </row>
    <row r="84" customFormat="false" ht="15" hidden="false" customHeight="false" outlineLevel="0" collapsed="false">
      <c r="A84" s="24"/>
      <c r="B84" s="25"/>
      <c r="C84" s="24"/>
      <c r="D84" s="17"/>
      <c r="E84" s="17"/>
      <c r="F84" s="24"/>
    </row>
    <row r="85" customFormat="false" ht="15" hidden="false" customHeight="false" outlineLevel="0" collapsed="false">
      <c r="A85" s="24"/>
      <c r="B85" s="25"/>
      <c r="C85" s="24"/>
      <c r="D85" s="17"/>
      <c r="E85" s="17"/>
      <c r="F85" s="24"/>
    </row>
    <row r="86" customFormat="false" ht="15" hidden="false" customHeight="false" outlineLevel="0" collapsed="false">
      <c r="A86" s="24"/>
      <c r="B86" s="25"/>
      <c r="C86" s="24"/>
      <c r="D86" s="17"/>
      <c r="E86" s="17"/>
      <c r="F86" s="24"/>
    </row>
    <row r="87" customFormat="false" ht="15" hidden="false" customHeight="false" outlineLevel="0" collapsed="false">
      <c r="A87" s="24"/>
      <c r="B87" s="25"/>
      <c r="C87" s="24"/>
      <c r="D87" s="17"/>
      <c r="E87" s="17"/>
      <c r="F87" s="24"/>
    </row>
    <row r="88" customFormat="false" ht="15" hidden="false" customHeight="false" outlineLevel="0" collapsed="false">
      <c r="A88" s="24"/>
      <c r="B88" s="25"/>
      <c r="C88" s="24"/>
      <c r="D88" s="17"/>
      <c r="E88" s="17"/>
      <c r="F88" s="24"/>
    </row>
    <row r="89" customFormat="false" ht="15" hidden="false" customHeight="false" outlineLevel="0" collapsed="false">
      <c r="A89" s="24"/>
      <c r="B89" s="25"/>
      <c r="C89" s="24"/>
      <c r="D89" s="17"/>
      <c r="E89" s="17"/>
      <c r="F89" s="24"/>
    </row>
    <row r="90" customFormat="false" ht="15" hidden="false" customHeight="false" outlineLevel="0" collapsed="false">
      <c r="A90" s="24"/>
      <c r="B90" s="25"/>
      <c r="C90" s="24"/>
      <c r="D90" s="17"/>
      <c r="E90" s="17"/>
      <c r="F90" s="24"/>
    </row>
    <row r="91" customFormat="false" ht="15" hidden="false" customHeight="false" outlineLevel="0" collapsed="false">
      <c r="A91" s="24"/>
      <c r="B91" s="25"/>
      <c r="C91" s="24"/>
      <c r="D91" s="17"/>
      <c r="E91" s="17"/>
      <c r="F91" s="24"/>
    </row>
    <row r="92" customFormat="false" ht="15" hidden="false" customHeight="false" outlineLevel="0" collapsed="false">
      <c r="A92" s="24"/>
      <c r="B92" s="25"/>
      <c r="C92" s="24"/>
      <c r="D92" s="17"/>
      <c r="E92" s="17"/>
      <c r="F92" s="24"/>
    </row>
    <row r="93" customFormat="false" ht="15" hidden="false" customHeight="false" outlineLevel="0" collapsed="false">
      <c r="A93" s="24"/>
      <c r="B93" s="25"/>
      <c r="C93" s="24"/>
      <c r="D93" s="17"/>
      <c r="E93" s="17"/>
      <c r="F93" s="24"/>
    </row>
    <row r="94" customFormat="false" ht="15" hidden="false" customHeight="false" outlineLevel="0" collapsed="false">
      <c r="A94" s="24"/>
      <c r="B94" s="25"/>
      <c r="C94" s="24"/>
      <c r="D94" s="17"/>
      <c r="E94" s="17"/>
      <c r="F94" s="24"/>
    </row>
    <row r="95" customFormat="false" ht="15" hidden="false" customHeight="false" outlineLevel="0" collapsed="false">
      <c r="A95" s="24"/>
      <c r="B95" s="25"/>
      <c r="C95" s="24"/>
      <c r="D95" s="17"/>
      <c r="E95" s="17"/>
      <c r="F95" s="24"/>
    </row>
    <row r="96" customFormat="false" ht="15" hidden="false" customHeight="false" outlineLevel="0" collapsed="false">
      <c r="A96" s="24"/>
      <c r="B96" s="25"/>
      <c r="C96" s="24"/>
      <c r="D96" s="17"/>
      <c r="E96" s="17"/>
      <c r="F96" s="24"/>
    </row>
    <row r="97" customFormat="false" ht="15" hidden="false" customHeight="false" outlineLevel="0" collapsed="false">
      <c r="A97" s="24"/>
      <c r="B97" s="25"/>
      <c r="C97" s="24"/>
      <c r="D97" s="17"/>
      <c r="E97" s="17"/>
      <c r="F97" s="24"/>
    </row>
    <row r="98" customFormat="false" ht="15" hidden="false" customHeight="false" outlineLevel="0" collapsed="false">
      <c r="A98" s="24"/>
      <c r="B98" s="25"/>
      <c r="C98" s="24"/>
      <c r="D98" s="17"/>
      <c r="E98" s="17"/>
      <c r="F98" s="24"/>
    </row>
    <row r="99" customFormat="false" ht="15" hidden="false" customHeight="false" outlineLevel="0" collapsed="false">
      <c r="A99" s="24"/>
      <c r="B99" s="25"/>
      <c r="C99" s="24"/>
      <c r="D99" s="17"/>
      <c r="E99" s="17"/>
      <c r="F99" s="24"/>
    </row>
    <row r="100" customFormat="false" ht="15" hidden="false" customHeight="false" outlineLevel="0" collapsed="false">
      <c r="A100" s="24"/>
      <c r="B100" s="25"/>
      <c r="C100" s="24"/>
      <c r="D100" s="17"/>
      <c r="E100" s="17"/>
      <c r="F100" s="24"/>
    </row>
    <row r="101" customFormat="false" ht="15" hidden="false" customHeight="false" outlineLevel="0" collapsed="false">
      <c r="A101" s="24"/>
      <c r="B101" s="25"/>
      <c r="C101" s="24"/>
      <c r="D101" s="17"/>
      <c r="E101" s="17"/>
      <c r="F101" s="24"/>
    </row>
    <row r="102" customFormat="false" ht="15" hidden="false" customHeight="false" outlineLevel="0" collapsed="false">
      <c r="A102" s="24"/>
      <c r="B102" s="25"/>
      <c r="C102" s="24"/>
      <c r="D102" s="17"/>
      <c r="E102" s="17"/>
      <c r="F102" s="24"/>
    </row>
    <row r="103" customFormat="false" ht="15" hidden="false" customHeight="false" outlineLevel="0" collapsed="false">
      <c r="A103" s="24"/>
      <c r="B103" s="25"/>
      <c r="C103" s="24"/>
      <c r="D103" s="17"/>
      <c r="E103" s="17"/>
      <c r="F103" s="24"/>
    </row>
    <row r="104" customFormat="false" ht="15" hidden="false" customHeight="false" outlineLevel="0" collapsed="false">
      <c r="A104" s="24"/>
      <c r="B104" s="25"/>
      <c r="C104" s="24"/>
      <c r="D104" s="17"/>
      <c r="E104" s="17"/>
      <c r="F104" s="24"/>
    </row>
    <row r="105" customFormat="false" ht="15" hidden="false" customHeight="false" outlineLevel="0" collapsed="false">
      <c r="A105" s="24"/>
      <c r="B105" s="25"/>
      <c r="C105" s="24"/>
      <c r="D105" s="17"/>
      <c r="E105" s="17"/>
      <c r="F105" s="24"/>
    </row>
    <row r="106" customFormat="false" ht="15" hidden="false" customHeight="false" outlineLevel="0" collapsed="false">
      <c r="A106" s="24"/>
      <c r="B106" s="25"/>
      <c r="C106" s="24"/>
      <c r="D106" s="17"/>
      <c r="E106" s="17"/>
      <c r="F106" s="24"/>
    </row>
    <row r="107" customFormat="false" ht="15" hidden="false" customHeight="false" outlineLevel="0" collapsed="false">
      <c r="A107" s="24"/>
      <c r="B107" s="25"/>
      <c r="C107" s="24"/>
      <c r="D107" s="17"/>
      <c r="E107" s="17"/>
      <c r="F107" s="24"/>
    </row>
    <row r="108" customFormat="false" ht="15" hidden="false" customHeight="false" outlineLevel="0" collapsed="false">
      <c r="A108" s="24"/>
      <c r="B108" s="25"/>
      <c r="C108" s="24"/>
      <c r="D108" s="17"/>
      <c r="E108" s="17"/>
      <c r="F108" s="24"/>
    </row>
    <row r="109" customFormat="false" ht="15" hidden="false" customHeight="false" outlineLevel="0" collapsed="false">
      <c r="A109" s="24"/>
      <c r="B109" s="25"/>
      <c r="C109" s="24"/>
      <c r="D109" s="17"/>
      <c r="E109" s="17"/>
      <c r="F109" s="24"/>
    </row>
    <row r="110" customFormat="false" ht="15" hidden="false" customHeight="false" outlineLevel="0" collapsed="false">
      <c r="A110" s="24"/>
      <c r="B110" s="25"/>
      <c r="C110" s="24"/>
      <c r="D110" s="17"/>
      <c r="E110" s="17"/>
      <c r="F110" s="24"/>
    </row>
    <row r="111" customFormat="false" ht="15" hidden="false" customHeight="false" outlineLevel="0" collapsed="false">
      <c r="A111" s="24"/>
      <c r="B111" s="25"/>
      <c r="C111" s="24"/>
      <c r="D111" s="17"/>
      <c r="E111" s="17"/>
      <c r="F111" s="24"/>
    </row>
    <row r="112" customFormat="false" ht="15" hidden="false" customHeight="false" outlineLevel="0" collapsed="false">
      <c r="A112" s="24"/>
      <c r="B112" s="25"/>
      <c r="C112" s="24"/>
      <c r="D112" s="17"/>
      <c r="E112" s="17"/>
      <c r="F112" s="24"/>
    </row>
    <row r="113" customFormat="false" ht="15" hidden="false" customHeight="false" outlineLevel="0" collapsed="false">
      <c r="A113" s="24"/>
      <c r="B113" s="25"/>
      <c r="C113" s="24"/>
      <c r="D113" s="17"/>
      <c r="E113" s="17"/>
      <c r="F113" s="24"/>
    </row>
    <row r="114" customFormat="false" ht="15" hidden="false" customHeight="false" outlineLevel="0" collapsed="false">
      <c r="A114" s="24"/>
      <c r="B114" s="25"/>
      <c r="C114" s="24"/>
      <c r="D114" s="17"/>
      <c r="E114" s="17"/>
      <c r="F114" s="24"/>
    </row>
    <row r="115" customFormat="false" ht="15" hidden="false" customHeight="false" outlineLevel="0" collapsed="false">
      <c r="A115" s="24"/>
      <c r="B115" s="25"/>
      <c r="C115" s="24"/>
      <c r="D115" s="17"/>
      <c r="E115" s="17"/>
      <c r="F115" s="24"/>
    </row>
    <row r="116" customFormat="false" ht="15" hidden="false" customHeight="false" outlineLevel="0" collapsed="false">
      <c r="A116" s="24"/>
      <c r="B116" s="25"/>
      <c r="C116" s="24"/>
      <c r="D116" s="17"/>
      <c r="E116" s="17"/>
      <c r="F116" s="24"/>
    </row>
    <row r="117" customFormat="false" ht="15" hidden="false" customHeight="false" outlineLevel="0" collapsed="false">
      <c r="A117" s="24"/>
      <c r="B117" s="25"/>
      <c r="C117" s="24"/>
      <c r="D117" s="17"/>
      <c r="E117" s="17"/>
      <c r="F117" s="24"/>
    </row>
    <row r="118" customFormat="false" ht="15" hidden="false" customHeight="false" outlineLevel="0" collapsed="false">
      <c r="A118" s="24"/>
      <c r="B118" s="25"/>
      <c r="C118" s="24"/>
      <c r="D118" s="17"/>
      <c r="E118" s="17"/>
      <c r="F118" s="24"/>
    </row>
    <row r="119" customFormat="false" ht="15" hidden="false" customHeight="false" outlineLevel="0" collapsed="false">
      <c r="A119" s="24"/>
      <c r="B119" s="25"/>
      <c r="C119" s="24"/>
      <c r="D119" s="17"/>
      <c r="E119" s="17"/>
      <c r="F119" s="24"/>
    </row>
    <row r="120" customFormat="false" ht="15" hidden="false" customHeight="false" outlineLevel="0" collapsed="false">
      <c r="A120" s="24"/>
      <c r="B120" s="25"/>
      <c r="C120" s="24"/>
      <c r="D120" s="17"/>
      <c r="E120" s="17"/>
      <c r="F120" s="24"/>
    </row>
    <row r="121" customFormat="false" ht="15" hidden="false" customHeight="false" outlineLevel="0" collapsed="false">
      <c r="A121" s="24"/>
      <c r="B121" s="25"/>
      <c r="C121" s="24"/>
      <c r="D121" s="17"/>
      <c r="E121" s="17"/>
      <c r="F121" s="24"/>
    </row>
    <row r="122" customFormat="false" ht="15" hidden="false" customHeight="false" outlineLevel="0" collapsed="false">
      <c r="A122" s="24"/>
      <c r="B122" s="25"/>
      <c r="C122" s="24"/>
      <c r="D122" s="17"/>
      <c r="E122" s="17"/>
      <c r="F122" s="24"/>
    </row>
    <row r="123" customFormat="false" ht="15" hidden="false" customHeight="false" outlineLevel="0" collapsed="false">
      <c r="A123" s="24"/>
      <c r="B123" s="25"/>
      <c r="C123" s="24"/>
      <c r="D123" s="17"/>
      <c r="E123" s="17"/>
      <c r="F123" s="24"/>
    </row>
    <row r="124" customFormat="false" ht="15" hidden="false" customHeight="false" outlineLevel="0" collapsed="false">
      <c r="A124" s="24"/>
      <c r="B124" s="25"/>
      <c r="C124" s="24"/>
      <c r="D124" s="17"/>
      <c r="E124" s="17"/>
      <c r="F124" s="24"/>
    </row>
    <row r="125" customFormat="false" ht="15" hidden="false" customHeight="false" outlineLevel="0" collapsed="false">
      <c r="A125" s="24"/>
      <c r="B125" s="25"/>
      <c r="C125" s="24"/>
      <c r="D125" s="17"/>
      <c r="E125" s="17"/>
      <c r="F125" s="24"/>
    </row>
    <row r="126" customFormat="false" ht="15" hidden="false" customHeight="false" outlineLevel="0" collapsed="false">
      <c r="A126" s="24"/>
      <c r="B126" s="25"/>
      <c r="C126" s="24"/>
      <c r="D126" s="17"/>
      <c r="E126" s="17"/>
      <c r="F126" s="24"/>
    </row>
    <row r="127" customFormat="false" ht="15" hidden="false" customHeight="false" outlineLevel="0" collapsed="false">
      <c r="A127" s="24"/>
      <c r="B127" s="25"/>
      <c r="C127" s="24"/>
      <c r="D127" s="17"/>
      <c r="E127" s="17"/>
      <c r="F127" s="24"/>
    </row>
    <row r="128" customFormat="false" ht="15" hidden="false" customHeight="false" outlineLevel="0" collapsed="false">
      <c r="A128" s="24"/>
      <c r="B128" s="25"/>
      <c r="C128" s="24"/>
      <c r="D128" s="17"/>
      <c r="E128" s="17"/>
      <c r="F128" s="24"/>
    </row>
    <row r="129" customFormat="false" ht="15" hidden="false" customHeight="false" outlineLevel="0" collapsed="false">
      <c r="A129" s="24"/>
      <c r="B129" s="25"/>
      <c r="C129" s="24"/>
      <c r="D129" s="17"/>
      <c r="E129" s="17"/>
      <c r="F129" s="24"/>
    </row>
    <row r="130" customFormat="false" ht="15" hidden="false" customHeight="false" outlineLevel="0" collapsed="false">
      <c r="A130" s="24"/>
      <c r="B130" s="25"/>
      <c r="C130" s="24"/>
      <c r="D130" s="17"/>
      <c r="E130" s="17"/>
      <c r="F130" s="24"/>
    </row>
    <row r="131" customFormat="false" ht="15" hidden="false" customHeight="false" outlineLevel="0" collapsed="false">
      <c r="A131" s="24"/>
      <c r="B131" s="25"/>
      <c r="C131" s="24"/>
      <c r="D131" s="17"/>
      <c r="E131" s="17"/>
      <c r="F131" s="24"/>
    </row>
    <row r="132" customFormat="false" ht="15" hidden="false" customHeight="false" outlineLevel="0" collapsed="false">
      <c r="A132" s="24"/>
      <c r="B132" s="25"/>
      <c r="C132" s="24"/>
      <c r="D132" s="17"/>
      <c r="E132" s="17"/>
      <c r="F132" s="24"/>
    </row>
    <row r="133" customFormat="false" ht="15" hidden="false" customHeight="false" outlineLevel="0" collapsed="false">
      <c r="A133" s="24"/>
      <c r="B133" s="25"/>
      <c r="C133" s="24"/>
      <c r="D133" s="17"/>
      <c r="E133" s="17"/>
      <c r="F133" s="24"/>
    </row>
    <row r="134" customFormat="false" ht="15" hidden="false" customHeight="false" outlineLevel="0" collapsed="false">
      <c r="A134" s="24"/>
      <c r="B134" s="25"/>
      <c r="C134" s="24"/>
      <c r="D134" s="17"/>
      <c r="E134" s="17"/>
      <c r="F134" s="24"/>
    </row>
    <row r="135" customFormat="false" ht="15" hidden="false" customHeight="false" outlineLevel="0" collapsed="false">
      <c r="A135" s="24"/>
      <c r="B135" s="25"/>
      <c r="C135" s="24"/>
      <c r="D135" s="17"/>
      <c r="E135" s="17"/>
      <c r="F135" s="24"/>
    </row>
    <row r="136" customFormat="false" ht="15" hidden="false" customHeight="false" outlineLevel="0" collapsed="false">
      <c r="A136" s="24"/>
      <c r="B136" s="25"/>
      <c r="C136" s="24"/>
      <c r="D136" s="17"/>
      <c r="E136" s="17"/>
      <c r="F136" s="24"/>
    </row>
    <row r="137" customFormat="false" ht="15" hidden="false" customHeight="false" outlineLevel="0" collapsed="false">
      <c r="A137" s="24"/>
      <c r="B137" s="25"/>
      <c r="C137" s="24"/>
      <c r="D137" s="17"/>
      <c r="E137" s="17"/>
      <c r="F137" s="24"/>
    </row>
    <row r="138" customFormat="false" ht="15" hidden="false" customHeight="false" outlineLevel="0" collapsed="false">
      <c r="A138" s="24"/>
      <c r="B138" s="25"/>
      <c r="C138" s="24"/>
      <c r="D138" s="17"/>
      <c r="E138" s="17"/>
      <c r="F138" s="24"/>
    </row>
    <row r="139" customFormat="false" ht="15" hidden="false" customHeight="false" outlineLevel="0" collapsed="false">
      <c r="A139" s="24"/>
      <c r="B139" s="25"/>
      <c r="C139" s="24"/>
      <c r="D139" s="17"/>
      <c r="E139" s="17"/>
      <c r="F139" s="24"/>
    </row>
    <row r="140" customFormat="false" ht="15" hidden="false" customHeight="false" outlineLevel="0" collapsed="false">
      <c r="A140" s="24"/>
      <c r="B140" s="25"/>
      <c r="C140" s="24"/>
      <c r="D140" s="17"/>
      <c r="E140" s="17"/>
      <c r="F140" s="24"/>
    </row>
    <row r="141" customFormat="false" ht="15" hidden="false" customHeight="false" outlineLevel="0" collapsed="false">
      <c r="A141" s="24"/>
      <c r="B141" s="25"/>
      <c r="C141" s="24"/>
      <c r="D141" s="17"/>
      <c r="E141" s="17"/>
      <c r="F141" s="24"/>
    </row>
    <row r="142" customFormat="false" ht="15" hidden="false" customHeight="false" outlineLevel="0" collapsed="false">
      <c r="A142" s="24"/>
      <c r="B142" s="25"/>
      <c r="C142" s="24"/>
      <c r="D142" s="17"/>
      <c r="E142" s="17"/>
      <c r="F142" s="24"/>
    </row>
    <row r="143" customFormat="false" ht="15" hidden="false" customHeight="false" outlineLevel="0" collapsed="false">
      <c r="A143" s="24"/>
      <c r="B143" s="25"/>
      <c r="C143" s="24"/>
      <c r="D143" s="17"/>
      <c r="E143" s="17"/>
      <c r="F143" s="24"/>
    </row>
    <row r="144" customFormat="false" ht="15" hidden="false" customHeight="false" outlineLevel="0" collapsed="false">
      <c r="A144" s="24"/>
      <c r="B144" s="25"/>
      <c r="C144" s="24"/>
      <c r="D144" s="17"/>
      <c r="E144" s="17"/>
      <c r="F144" s="24"/>
    </row>
    <row r="145" customFormat="false" ht="15" hidden="false" customHeight="false" outlineLevel="0" collapsed="false">
      <c r="A145" s="24"/>
      <c r="B145" s="25"/>
      <c r="C145" s="24"/>
      <c r="D145" s="17"/>
      <c r="E145" s="17"/>
      <c r="F145" s="24"/>
    </row>
    <row r="146" customFormat="false" ht="15" hidden="false" customHeight="false" outlineLevel="0" collapsed="false">
      <c r="A146" s="24"/>
      <c r="B146" s="25"/>
      <c r="C146" s="24"/>
      <c r="D146" s="17"/>
      <c r="E146" s="17"/>
      <c r="F146" s="24"/>
    </row>
    <row r="147" customFormat="false" ht="15" hidden="false" customHeight="false" outlineLevel="0" collapsed="false">
      <c r="A147" s="24"/>
      <c r="B147" s="25"/>
      <c r="C147" s="24"/>
      <c r="D147" s="17"/>
      <c r="E147" s="17"/>
      <c r="F147" s="24"/>
    </row>
    <row r="148" customFormat="false" ht="15" hidden="false" customHeight="false" outlineLevel="0" collapsed="false">
      <c r="A148" s="24"/>
      <c r="B148" s="25"/>
      <c r="C148" s="24"/>
      <c r="D148" s="17"/>
      <c r="E148" s="17"/>
      <c r="F148" s="24"/>
    </row>
    <row r="149" customFormat="false" ht="15" hidden="false" customHeight="false" outlineLevel="0" collapsed="false">
      <c r="A149" s="24"/>
      <c r="B149" s="25"/>
      <c r="C149" s="24"/>
      <c r="D149" s="17"/>
      <c r="E149" s="17"/>
      <c r="F149" s="24"/>
    </row>
    <row r="150" customFormat="false" ht="15" hidden="false" customHeight="false" outlineLevel="0" collapsed="false">
      <c r="A150" s="24"/>
      <c r="B150" s="25"/>
      <c r="C150" s="24"/>
      <c r="D150" s="17"/>
      <c r="E150" s="17"/>
      <c r="F150" s="24"/>
    </row>
    <row r="151" customFormat="false" ht="15" hidden="false" customHeight="false" outlineLevel="0" collapsed="false">
      <c r="A151" s="24"/>
      <c r="B151" s="25"/>
      <c r="C151" s="24"/>
      <c r="D151" s="17"/>
      <c r="E151" s="17"/>
      <c r="F151" s="24"/>
    </row>
    <row r="152" customFormat="false" ht="15" hidden="false" customHeight="false" outlineLevel="0" collapsed="false">
      <c r="A152" s="24"/>
      <c r="B152" s="25"/>
      <c r="C152" s="24"/>
      <c r="D152" s="17"/>
      <c r="E152" s="17"/>
      <c r="F152" s="24"/>
    </row>
    <row r="153" customFormat="false" ht="15" hidden="false" customHeight="false" outlineLevel="0" collapsed="false">
      <c r="A153" s="24"/>
      <c r="B153" s="25"/>
      <c r="C153" s="24"/>
      <c r="D153" s="17"/>
      <c r="E153" s="17"/>
      <c r="F153" s="24"/>
    </row>
    <row r="154" customFormat="false" ht="15" hidden="false" customHeight="false" outlineLevel="0" collapsed="false">
      <c r="A154" s="24"/>
      <c r="B154" s="25"/>
      <c r="C154" s="24"/>
      <c r="D154" s="17"/>
      <c r="E154" s="17"/>
      <c r="F154" s="24"/>
    </row>
    <row r="155" customFormat="false" ht="15" hidden="false" customHeight="false" outlineLevel="0" collapsed="false">
      <c r="A155" s="24"/>
      <c r="B155" s="25"/>
      <c r="C155" s="24"/>
      <c r="D155" s="17"/>
      <c r="E155" s="17"/>
      <c r="F155" s="24"/>
    </row>
    <row r="156" customFormat="false" ht="15" hidden="false" customHeight="false" outlineLevel="0" collapsed="false">
      <c r="A156" s="24"/>
      <c r="B156" s="25"/>
      <c r="C156" s="24"/>
      <c r="D156" s="17"/>
      <c r="E156" s="17"/>
      <c r="F156" s="24"/>
    </row>
    <row r="157" customFormat="false" ht="15" hidden="false" customHeight="false" outlineLevel="0" collapsed="false">
      <c r="A157" s="24"/>
      <c r="B157" s="25"/>
      <c r="C157" s="24"/>
      <c r="D157" s="17"/>
      <c r="E157" s="17"/>
      <c r="F157" s="24"/>
    </row>
    <row r="158" customFormat="false" ht="15" hidden="false" customHeight="false" outlineLevel="0" collapsed="false">
      <c r="A158" s="24"/>
      <c r="B158" s="25"/>
      <c r="C158" s="24"/>
      <c r="D158" s="17"/>
      <c r="E158" s="17"/>
      <c r="F158" s="24"/>
    </row>
    <row r="159" customFormat="false" ht="15" hidden="false" customHeight="false" outlineLevel="0" collapsed="false">
      <c r="A159" s="24"/>
      <c r="B159" s="25"/>
      <c r="C159" s="24"/>
      <c r="D159" s="17"/>
      <c r="E159" s="17"/>
      <c r="F159" s="24"/>
    </row>
    <row r="160" customFormat="false" ht="15" hidden="false" customHeight="false" outlineLevel="0" collapsed="false">
      <c r="A160" s="24"/>
      <c r="B160" s="25"/>
      <c r="C160" s="24"/>
      <c r="D160" s="17"/>
      <c r="E160" s="17"/>
      <c r="F160" s="24"/>
    </row>
    <row r="161" customFormat="false" ht="15" hidden="false" customHeight="false" outlineLevel="0" collapsed="false">
      <c r="A161" s="24"/>
      <c r="B161" s="25"/>
      <c r="C161" s="24"/>
      <c r="D161" s="17"/>
      <c r="E161" s="17"/>
      <c r="F161" s="24"/>
    </row>
    <row r="162" customFormat="false" ht="15" hidden="false" customHeight="false" outlineLevel="0" collapsed="false">
      <c r="A162" s="24"/>
      <c r="B162" s="25"/>
      <c r="C162" s="24"/>
      <c r="D162" s="17"/>
      <c r="E162" s="17"/>
      <c r="F162" s="24"/>
    </row>
    <row r="163" customFormat="false" ht="15" hidden="false" customHeight="false" outlineLevel="0" collapsed="false">
      <c r="A163" s="24"/>
      <c r="B163" s="25"/>
      <c r="C163" s="24"/>
      <c r="D163" s="17"/>
      <c r="E163" s="17"/>
      <c r="F163" s="24"/>
    </row>
    <row r="164" customFormat="false" ht="15" hidden="false" customHeight="false" outlineLevel="0" collapsed="false">
      <c r="A164" s="24"/>
      <c r="B164" s="25"/>
      <c r="C164" s="24"/>
      <c r="D164" s="17"/>
      <c r="E164" s="17"/>
      <c r="F164" s="24"/>
    </row>
    <row r="165" customFormat="false" ht="15" hidden="false" customHeight="false" outlineLevel="0" collapsed="false">
      <c r="A165" s="24"/>
      <c r="B165" s="25"/>
      <c r="C165" s="24"/>
      <c r="D165" s="17"/>
      <c r="E165" s="17"/>
      <c r="F165" s="24"/>
    </row>
    <row r="166" customFormat="false" ht="15" hidden="false" customHeight="false" outlineLevel="0" collapsed="false">
      <c r="A166" s="24"/>
      <c r="B166" s="25"/>
      <c r="C166" s="24"/>
      <c r="D166" s="17"/>
      <c r="E166" s="17"/>
      <c r="F166" s="24"/>
    </row>
    <row r="167" customFormat="false" ht="15" hidden="false" customHeight="false" outlineLevel="0" collapsed="false">
      <c r="A167" s="24"/>
      <c r="B167" s="25"/>
      <c r="C167" s="24"/>
      <c r="D167" s="17"/>
      <c r="E167" s="17"/>
      <c r="F167" s="24"/>
    </row>
    <row r="168" customFormat="false" ht="15" hidden="false" customHeight="false" outlineLevel="0" collapsed="false">
      <c r="A168" s="24"/>
      <c r="B168" s="25"/>
      <c r="C168" s="24"/>
      <c r="D168" s="17"/>
      <c r="E168" s="17"/>
      <c r="F168" s="24"/>
    </row>
    <row r="169" customFormat="false" ht="15" hidden="false" customHeight="false" outlineLevel="0" collapsed="false">
      <c r="A169" s="24"/>
      <c r="B169" s="25"/>
      <c r="C169" s="24"/>
      <c r="D169" s="17"/>
      <c r="E169" s="17"/>
      <c r="F169" s="24"/>
    </row>
    <row r="170" customFormat="false" ht="15" hidden="false" customHeight="false" outlineLevel="0" collapsed="false">
      <c r="A170" s="24"/>
      <c r="B170" s="25"/>
      <c r="C170" s="24"/>
      <c r="D170" s="17"/>
      <c r="E170" s="17"/>
      <c r="F170" s="24"/>
    </row>
    <row r="171" customFormat="false" ht="15" hidden="false" customHeight="false" outlineLevel="0" collapsed="false">
      <c r="A171" s="24"/>
      <c r="B171" s="25"/>
      <c r="C171" s="24"/>
      <c r="D171" s="17"/>
      <c r="E171" s="17"/>
      <c r="F171" s="24"/>
    </row>
    <row r="172" customFormat="false" ht="15" hidden="false" customHeight="false" outlineLevel="0" collapsed="false">
      <c r="A172" s="24"/>
      <c r="B172" s="25"/>
      <c r="C172" s="24"/>
      <c r="D172" s="17"/>
      <c r="E172" s="17"/>
      <c r="F172" s="24"/>
    </row>
    <row r="173" customFormat="false" ht="15" hidden="false" customHeight="false" outlineLevel="0" collapsed="false">
      <c r="A173" s="24"/>
      <c r="B173" s="25"/>
      <c r="C173" s="24"/>
      <c r="D173" s="17"/>
      <c r="E173" s="17"/>
      <c r="F173" s="24"/>
    </row>
    <row r="174" customFormat="false" ht="15" hidden="false" customHeight="false" outlineLevel="0" collapsed="false">
      <c r="A174" s="24"/>
      <c r="B174" s="25"/>
      <c r="C174" s="24"/>
      <c r="D174" s="17"/>
      <c r="E174" s="17"/>
      <c r="F174" s="24"/>
    </row>
    <row r="175" customFormat="false" ht="15" hidden="false" customHeight="false" outlineLevel="0" collapsed="false">
      <c r="A175" s="24"/>
      <c r="B175" s="25"/>
      <c r="C175" s="24"/>
      <c r="D175" s="17"/>
      <c r="E175" s="17"/>
      <c r="F175" s="24"/>
    </row>
    <row r="176" customFormat="false" ht="15" hidden="false" customHeight="false" outlineLevel="0" collapsed="false">
      <c r="A176" s="24"/>
      <c r="B176" s="25"/>
      <c r="C176" s="24"/>
      <c r="D176" s="17"/>
      <c r="E176" s="17"/>
      <c r="F176" s="24"/>
    </row>
    <row r="177" customFormat="false" ht="15" hidden="false" customHeight="false" outlineLevel="0" collapsed="false">
      <c r="A177" s="24"/>
      <c r="B177" s="25"/>
      <c r="C177" s="24"/>
      <c r="D177" s="17"/>
      <c r="E177" s="17"/>
      <c r="F177" s="24"/>
    </row>
    <row r="178" customFormat="false" ht="15" hidden="false" customHeight="false" outlineLevel="0" collapsed="false">
      <c r="A178" s="24"/>
      <c r="B178" s="25"/>
      <c r="C178" s="24"/>
      <c r="D178" s="17"/>
      <c r="E178" s="17"/>
      <c r="F178" s="24"/>
    </row>
    <row r="179" customFormat="false" ht="15" hidden="false" customHeight="false" outlineLevel="0" collapsed="false">
      <c r="A179" s="24"/>
      <c r="B179" s="25"/>
      <c r="C179" s="24"/>
      <c r="D179" s="17"/>
      <c r="E179" s="17"/>
      <c r="F179" s="24"/>
    </row>
    <row r="180" customFormat="false" ht="15" hidden="false" customHeight="false" outlineLevel="0" collapsed="false">
      <c r="A180" s="24"/>
      <c r="B180" s="25"/>
      <c r="C180" s="24"/>
      <c r="D180" s="17"/>
      <c r="E180" s="17"/>
      <c r="F180" s="24"/>
    </row>
    <row r="181" customFormat="false" ht="15" hidden="false" customHeight="false" outlineLevel="0" collapsed="false">
      <c r="A181" s="24"/>
      <c r="B181" s="25"/>
      <c r="C181" s="24"/>
      <c r="D181" s="17"/>
      <c r="E181" s="17"/>
      <c r="F181" s="24"/>
    </row>
    <row r="182" customFormat="false" ht="15" hidden="false" customHeight="false" outlineLevel="0" collapsed="false">
      <c r="A182" s="24"/>
      <c r="B182" s="25"/>
      <c r="C182" s="24"/>
      <c r="D182" s="17"/>
      <c r="E182" s="17"/>
      <c r="F182" s="24"/>
    </row>
    <row r="183" customFormat="false" ht="15" hidden="false" customHeight="false" outlineLevel="0" collapsed="false">
      <c r="A183" s="24"/>
      <c r="B183" s="25"/>
      <c r="C183" s="24"/>
      <c r="D183" s="17"/>
      <c r="E183" s="17"/>
      <c r="F183" s="24"/>
    </row>
    <row r="184" customFormat="false" ht="15" hidden="false" customHeight="false" outlineLevel="0" collapsed="false">
      <c r="A184" s="24"/>
      <c r="B184" s="25"/>
      <c r="C184" s="24"/>
      <c r="D184" s="17"/>
      <c r="E184" s="17"/>
      <c r="F184" s="24"/>
    </row>
    <row r="185" customFormat="false" ht="15" hidden="false" customHeight="false" outlineLevel="0" collapsed="false">
      <c r="A185" s="24"/>
      <c r="B185" s="25"/>
      <c r="C185" s="24"/>
      <c r="D185" s="17"/>
      <c r="E185" s="17"/>
      <c r="F185" s="24"/>
    </row>
    <row r="186" customFormat="false" ht="15" hidden="false" customHeight="false" outlineLevel="0" collapsed="false">
      <c r="A186" s="24"/>
      <c r="B186" s="25"/>
      <c r="C186" s="24"/>
      <c r="D186" s="17"/>
      <c r="E186" s="17"/>
      <c r="F186" s="24"/>
    </row>
    <row r="187" customFormat="false" ht="15" hidden="false" customHeight="false" outlineLevel="0" collapsed="false">
      <c r="A187" s="24"/>
      <c r="B187" s="25"/>
      <c r="C187" s="24"/>
      <c r="D187" s="17"/>
      <c r="E187" s="17"/>
      <c r="F187" s="24"/>
    </row>
    <row r="188" customFormat="false" ht="15" hidden="false" customHeight="false" outlineLevel="0" collapsed="false">
      <c r="A188" s="24"/>
      <c r="B188" s="25"/>
      <c r="C188" s="24"/>
      <c r="D188" s="17"/>
      <c r="E188" s="17"/>
      <c r="F188" s="24"/>
    </row>
    <row r="189" customFormat="false" ht="15" hidden="false" customHeight="false" outlineLevel="0" collapsed="false">
      <c r="A189" s="24"/>
      <c r="B189" s="25"/>
      <c r="C189" s="24"/>
      <c r="D189" s="17"/>
      <c r="E189" s="17"/>
      <c r="F189" s="24"/>
    </row>
    <row r="190" customFormat="false" ht="15" hidden="false" customHeight="false" outlineLevel="0" collapsed="false">
      <c r="A190" s="24"/>
      <c r="B190" s="25"/>
      <c r="C190" s="24"/>
      <c r="D190" s="17"/>
      <c r="E190" s="17"/>
      <c r="F190" s="24"/>
    </row>
    <row r="191" customFormat="false" ht="15" hidden="false" customHeight="false" outlineLevel="0" collapsed="false">
      <c r="A191" s="24"/>
      <c r="B191" s="25"/>
      <c r="C191" s="24"/>
      <c r="D191" s="17"/>
      <c r="E191" s="17"/>
      <c r="F191" s="24"/>
    </row>
    <row r="192" customFormat="false" ht="15" hidden="false" customHeight="false" outlineLevel="0" collapsed="false">
      <c r="A192" s="24"/>
      <c r="B192" s="25"/>
      <c r="C192" s="24"/>
      <c r="D192" s="17"/>
      <c r="E192" s="17"/>
      <c r="F192" s="24"/>
    </row>
    <row r="193" customFormat="false" ht="15" hidden="false" customHeight="false" outlineLevel="0" collapsed="false">
      <c r="A193" s="24"/>
      <c r="B193" s="25"/>
      <c r="C193" s="24"/>
      <c r="D193" s="17"/>
      <c r="E193" s="17"/>
      <c r="F193" s="24"/>
    </row>
    <row r="194" customFormat="false" ht="15" hidden="false" customHeight="false" outlineLevel="0" collapsed="false">
      <c r="A194" s="24"/>
      <c r="B194" s="25"/>
      <c r="C194" s="24"/>
      <c r="D194" s="17"/>
      <c r="E194" s="17"/>
      <c r="F194" s="24"/>
    </row>
    <row r="195" customFormat="false" ht="15" hidden="false" customHeight="false" outlineLevel="0" collapsed="false">
      <c r="A195" s="24"/>
      <c r="B195" s="25"/>
      <c r="C195" s="24"/>
      <c r="D195" s="17"/>
      <c r="E195" s="17"/>
      <c r="F195" s="24"/>
    </row>
    <row r="196" customFormat="false" ht="15" hidden="false" customHeight="false" outlineLevel="0" collapsed="false">
      <c r="A196" s="24"/>
      <c r="B196" s="25"/>
      <c r="C196" s="24"/>
      <c r="D196" s="17"/>
      <c r="E196" s="17"/>
      <c r="F196" s="24"/>
    </row>
    <row r="197" customFormat="false" ht="15" hidden="false" customHeight="false" outlineLevel="0" collapsed="false">
      <c r="A197" s="24"/>
      <c r="B197" s="25"/>
      <c r="C197" s="24"/>
      <c r="D197" s="17"/>
      <c r="E197" s="17"/>
      <c r="F197" s="24"/>
    </row>
    <row r="198" customFormat="false" ht="15" hidden="false" customHeight="false" outlineLevel="0" collapsed="false">
      <c r="A198" s="24"/>
      <c r="B198" s="25"/>
      <c r="C198" s="24"/>
      <c r="D198" s="17"/>
      <c r="E198" s="17"/>
      <c r="F198" s="24"/>
    </row>
    <row r="199" customFormat="false" ht="15" hidden="false" customHeight="false" outlineLevel="0" collapsed="false">
      <c r="A199" s="24"/>
      <c r="B199" s="25"/>
      <c r="C199" s="24"/>
      <c r="D199" s="17"/>
      <c r="E199" s="17"/>
      <c r="F199" s="24"/>
    </row>
    <row r="200" customFormat="false" ht="15" hidden="false" customHeight="false" outlineLevel="0" collapsed="false">
      <c r="A200" s="24"/>
      <c r="B200" s="25"/>
      <c r="C200" s="24"/>
      <c r="D200" s="17"/>
      <c r="E200" s="17"/>
      <c r="F200" s="24"/>
    </row>
    <row r="201" customFormat="false" ht="15" hidden="false" customHeight="false" outlineLevel="0" collapsed="false">
      <c r="A201" s="24"/>
      <c r="B201" s="25"/>
      <c r="C201" s="24"/>
      <c r="D201" s="17"/>
      <c r="E201" s="17"/>
      <c r="F201" s="24"/>
    </row>
    <row r="202" customFormat="false" ht="15" hidden="false" customHeight="false" outlineLevel="0" collapsed="false">
      <c r="A202" s="24"/>
      <c r="B202" s="25"/>
      <c r="C202" s="24"/>
      <c r="D202" s="17"/>
      <c r="E202" s="17"/>
      <c r="F202" s="24"/>
    </row>
    <row r="203" customFormat="false" ht="15" hidden="false" customHeight="false" outlineLevel="0" collapsed="false">
      <c r="A203" s="24"/>
      <c r="B203" s="25"/>
      <c r="C203" s="24"/>
      <c r="D203" s="17"/>
      <c r="E203" s="17"/>
      <c r="F203" s="24"/>
    </row>
    <row r="204" customFormat="false" ht="15" hidden="false" customHeight="false" outlineLevel="0" collapsed="false">
      <c r="A204" s="24"/>
      <c r="B204" s="25"/>
      <c r="C204" s="24"/>
      <c r="D204" s="17"/>
      <c r="E204" s="17"/>
      <c r="F204" s="24"/>
    </row>
    <row r="205" customFormat="false" ht="15" hidden="false" customHeight="false" outlineLevel="0" collapsed="false">
      <c r="A205" s="24"/>
      <c r="B205" s="25"/>
      <c r="C205" s="24"/>
      <c r="D205" s="17"/>
      <c r="E205" s="17"/>
      <c r="F205" s="24"/>
    </row>
  </sheetData>
  <dataValidations count="2">
    <dataValidation allowBlank="true" error="Informe um valor numérico maior ou igual a zero." errorStyle="stop" errorTitle="Valor inválido" operator="greaterThanOrEqual" showDropDown="false" showErrorMessage="true" showInputMessage="false" sqref="D6:E205" type="decimal">
      <formula1>0</formula1>
      <formula2>0</formula2>
    </dataValidation>
    <dataValidation allowBlank="true" error="Digite só números: CPF (11 dígitos) ou CNPJ (14 dígitos)." errorStyle="stop" errorTitle="CPF/CNPJ" operator="between" prompt="Somente números (11 ou 14 dígitos)." promptTitle="CPF/CNPJ" showDropDown="false" showErrorMessage="true" showInputMessage="true" sqref="B6:B205" type="custom">
      <formula1>OR(LEN(B6)=11,LEN(B6)=14)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119</v>
      </c>
    </row>
    <row r="3" customFormat="false" ht="15" hidden="false" customHeight="false" outlineLevel="0" collapsed="false">
      <c r="A3" s="11" t="s">
        <v>120</v>
      </c>
    </row>
    <row r="5" customFormat="false" ht="30" hidden="false" customHeight="true" outlineLevel="0" collapsed="false">
      <c r="A5" s="23" t="s">
        <v>121</v>
      </c>
      <c r="B5" s="23" t="s">
        <v>122</v>
      </c>
      <c r="C5" s="23" t="s">
        <v>87</v>
      </c>
    </row>
    <row r="6" customFormat="false" ht="15" hidden="false" customHeight="false" outlineLevel="0" collapsed="false">
      <c r="A6" s="24" t="s">
        <v>123</v>
      </c>
      <c r="B6" s="24" t="s">
        <v>124</v>
      </c>
      <c r="C6" s="24"/>
    </row>
    <row r="7" customFormat="false" ht="15" hidden="false" customHeight="false" outlineLevel="0" collapsed="false">
      <c r="A7" s="24" t="s">
        <v>125</v>
      </c>
      <c r="B7" s="24" t="s">
        <v>124</v>
      </c>
      <c r="C7" s="24"/>
    </row>
    <row r="8" customFormat="false" ht="15" hidden="false" customHeight="false" outlineLevel="0" collapsed="false">
      <c r="A8" s="24" t="s">
        <v>126</v>
      </c>
      <c r="B8" s="24" t="s">
        <v>124</v>
      </c>
      <c r="C8" s="24"/>
    </row>
    <row r="9" customFormat="false" ht="15" hidden="false" customHeight="false" outlineLevel="0" collapsed="false">
      <c r="A9" s="24" t="s">
        <v>127</v>
      </c>
      <c r="B9" s="24" t="s">
        <v>124</v>
      </c>
      <c r="C9" s="24"/>
    </row>
    <row r="10" customFormat="false" ht="15" hidden="false" customHeight="false" outlineLevel="0" collapsed="false">
      <c r="A10" s="24" t="s">
        <v>128</v>
      </c>
      <c r="B10" s="24" t="s">
        <v>124</v>
      </c>
      <c r="C10" s="24"/>
    </row>
    <row r="11" customFormat="false" ht="15" hidden="false" customHeight="false" outlineLevel="0" collapsed="false">
      <c r="A11" s="24" t="s">
        <v>129</v>
      </c>
      <c r="B11" s="24" t="s">
        <v>124</v>
      </c>
      <c r="C11" s="24"/>
    </row>
    <row r="12" customFormat="false" ht="15" hidden="false" customHeight="false" outlineLevel="0" collapsed="false">
      <c r="A12" s="24" t="s">
        <v>130</v>
      </c>
      <c r="B12" s="24" t="s">
        <v>124</v>
      </c>
      <c r="C12" s="24"/>
    </row>
    <row r="13" customFormat="false" ht="15" hidden="false" customHeight="false" outlineLevel="0" collapsed="false">
      <c r="A13" s="24" t="s">
        <v>131</v>
      </c>
      <c r="B13" s="24" t="s">
        <v>124</v>
      </c>
      <c r="C13" s="24"/>
    </row>
    <row r="14" customFormat="false" ht="15" hidden="false" customHeight="false" outlineLevel="0" collapsed="false">
      <c r="A14" s="24" t="s">
        <v>132</v>
      </c>
      <c r="B14" s="24" t="s">
        <v>124</v>
      </c>
      <c r="C14" s="24"/>
    </row>
    <row r="15" customFormat="false" ht="15" hidden="false" customHeight="false" outlineLevel="0" collapsed="false">
      <c r="A15" s="24" t="s">
        <v>133</v>
      </c>
      <c r="B15" s="24" t="s">
        <v>124</v>
      </c>
      <c r="C15" s="24"/>
    </row>
    <row r="16" customFormat="false" ht="15" hidden="false" customHeight="false" outlineLevel="0" collapsed="false">
      <c r="A16" s="24" t="s">
        <v>134</v>
      </c>
      <c r="B16" s="24" t="s">
        <v>124</v>
      </c>
      <c r="C16" s="24"/>
    </row>
    <row r="17" customFormat="false" ht="15" hidden="false" customHeight="false" outlineLevel="0" collapsed="false">
      <c r="A17" s="24" t="s">
        <v>135</v>
      </c>
      <c r="B17" s="24" t="s">
        <v>124</v>
      </c>
      <c r="C17" s="24"/>
    </row>
    <row r="19" customFormat="false" ht="15" hidden="false" customHeight="false" outlineLevel="0" collapsed="false">
      <c r="A19" s="28" t="s">
        <v>136</v>
      </c>
      <c r="B19" s="22" t="n">
        <f aca="false">IF(COUNTA(A6:A17)=0,0,COUNTIF(B6:B17,"Entregue")/COUNTA(A6:A17))</f>
        <v>0</v>
      </c>
    </row>
  </sheetData>
  <conditionalFormatting sqref="B6:B17">
    <cfRule type="cellIs" priority="2" operator="equal" aboveAverage="0" equalAverage="0" bottom="0" percent="0" rank="0" text="" dxfId="1">
      <formula>"Entregue"</formula>
    </cfRule>
    <cfRule type="cellIs" priority="3" operator="equal" aboveAverage="0" equalAverage="0" bottom="0" percent="0" rank="0" text="" dxfId="2">
      <formula>"Em andamento"</formula>
    </cfRule>
    <cfRule type="cellIs" priority="4" operator="equal" aboveAverage="0" equalAverage="0" bottom="0" percent="0" rank="0" text="" dxfId="0">
      <formula>"Pendente"</formula>
    </cfRule>
  </conditionalFormatting>
  <dataValidations count="1">
    <dataValidation allowBlank="true" error="Escolha uma opção da lista." errorStyle="stop" errorTitle="Valor inválido" operator="between" prompt="Pendente, Em andamento ou Entregue." promptTitle="Dica" showDropDown="false" showErrorMessage="true" showInputMessage="true" sqref="B6:B17" type="list">
      <formula1>Listas!$H$6:$H$8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6"/>
    <col collapsed="false" customWidth="true" hidden="false" outlineLevel="0" max="8" min="4" style="0" width="20"/>
  </cols>
  <sheetData>
    <row r="1" customFormat="false" ht="15" hidden="false" customHeight="false" outlineLevel="0" collapsed="false">
      <c r="A1" s="9" t="str">
        <f aca="false">HYPERLINK("#'Menu'!A1","⬅ Voltar ao Menu")</f>
        <v>⬅ Voltar ao Menu</v>
      </c>
    </row>
    <row r="2" customFormat="false" ht="19.7" hidden="false" customHeight="false" outlineLevel="0" collapsed="false">
      <c r="A2" s="10" t="s">
        <v>137</v>
      </c>
    </row>
    <row r="3" customFormat="false" ht="15" hidden="false" customHeight="false" outlineLevel="0" collapsed="false">
      <c r="A3" s="11" t="s">
        <v>138</v>
      </c>
    </row>
    <row r="5" customFormat="false" ht="30" hidden="false" customHeight="true" outlineLevel="0" collapsed="false">
      <c r="A5" s="23" t="s">
        <v>84</v>
      </c>
      <c r="B5" s="23" t="s">
        <v>139</v>
      </c>
      <c r="C5" s="23" t="s">
        <v>140</v>
      </c>
      <c r="D5" s="23" t="s">
        <v>141</v>
      </c>
      <c r="E5" s="23" t="s">
        <v>70</v>
      </c>
      <c r="F5" s="23" t="s">
        <v>68</v>
      </c>
      <c r="G5" s="23" t="s">
        <v>76</v>
      </c>
      <c r="H5" s="23" t="s">
        <v>122</v>
      </c>
    </row>
    <row r="6" customFormat="false" ht="15" hidden="false" customHeight="false" outlineLevel="0" collapsed="false">
      <c r="A6" s="14" t="s">
        <v>28</v>
      </c>
      <c r="B6" s="14" t="s">
        <v>35</v>
      </c>
      <c r="C6" s="14" t="s">
        <v>142</v>
      </c>
      <c r="D6" s="14" t="s">
        <v>99</v>
      </c>
      <c r="E6" s="14" t="s">
        <v>143</v>
      </c>
      <c r="F6" s="14" t="s">
        <v>69</v>
      </c>
      <c r="G6" s="14" t="s">
        <v>79</v>
      </c>
      <c r="H6" s="14" t="s">
        <v>124</v>
      </c>
    </row>
    <row r="7" customFormat="false" ht="15" hidden="false" customHeight="false" outlineLevel="0" collapsed="false">
      <c r="A7" s="14" t="s">
        <v>29</v>
      </c>
      <c r="B7" s="14" t="s">
        <v>36</v>
      </c>
      <c r="C7" s="14" t="s">
        <v>108</v>
      </c>
      <c r="D7" s="14" t="s">
        <v>144</v>
      </c>
      <c r="E7" s="14" t="s">
        <v>145</v>
      </c>
      <c r="F7" s="14" t="s">
        <v>146</v>
      </c>
      <c r="G7" s="14" t="s">
        <v>147</v>
      </c>
      <c r="H7" s="14" t="s">
        <v>148</v>
      </c>
    </row>
    <row r="8" customFormat="false" ht="15" hidden="false" customHeight="false" outlineLevel="0" collapsed="false">
      <c r="A8" s="14" t="s">
        <v>30</v>
      </c>
      <c r="B8" s="14" t="s">
        <v>37</v>
      </c>
      <c r="C8" s="14" t="s">
        <v>149</v>
      </c>
      <c r="E8" s="14" t="s">
        <v>150</v>
      </c>
      <c r="F8" s="14" t="s">
        <v>151</v>
      </c>
      <c r="G8" s="14" t="s">
        <v>152</v>
      </c>
      <c r="H8" s="14" t="s">
        <v>153</v>
      </c>
    </row>
    <row r="9" customFormat="false" ht="15" hidden="false" customHeight="false" outlineLevel="0" collapsed="false">
      <c r="A9" s="14" t="s">
        <v>31</v>
      </c>
      <c r="B9" s="14" t="s">
        <v>38</v>
      </c>
      <c r="C9" s="14" t="s">
        <v>154</v>
      </c>
      <c r="E9" s="14" t="s">
        <v>155</v>
      </c>
      <c r="F9" s="14" t="s">
        <v>156</v>
      </c>
      <c r="G9" s="14" t="s">
        <v>157</v>
      </c>
    </row>
    <row r="10" customFormat="false" ht="15" hidden="false" customHeight="false" outlineLevel="0" collapsed="false">
      <c r="B10" s="14" t="s">
        <v>39</v>
      </c>
      <c r="C10" s="14" t="s">
        <v>158</v>
      </c>
      <c r="E10" s="14" t="s">
        <v>159</v>
      </c>
      <c r="F10" s="14" t="s">
        <v>160</v>
      </c>
    </row>
    <row r="11" customFormat="false" ht="15" hidden="false" customHeight="false" outlineLevel="0" collapsed="false">
      <c r="B11" s="14" t="s">
        <v>40</v>
      </c>
      <c r="C11" s="14" t="s">
        <v>161</v>
      </c>
      <c r="E11" s="14" t="s">
        <v>162</v>
      </c>
    </row>
    <row r="12" customFormat="false" ht="15" hidden="false" customHeight="false" outlineLevel="0" collapsed="false">
      <c r="C12" s="14" t="s">
        <v>163</v>
      </c>
      <c r="E12" s="14" t="s">
        <v>164</v>
      </c>
    </row>
    <row r="13" customFormat="false" ht="15" hidden="false" customHeight="false" outlineLevel="0" collapsed="false">
      <c r="E13" s="14" t="s">
        <v>165</v>
      </c>
    </row>
    <row r="14" customFormat="false" ht="15" hidden="false" customHeight="false" outlineLevel="0" collapsed="false">
      <c r="E14" s="14" t="s">
        <v>166</v>
      </c>
    </row>
    <row r="15" customFormat="false" ht="15" hidden="false" customHeight="false" outlineLevel="0" collapsed="false">
      <c r="E15" s="14" t="s">
        <v>167</v>
      </c>
    </row>
    <row r="16" customFormat="false" ht="15" hidden="false" customHeight="false" outlineLevel="0" collapsed="false">
      <c r="E16" s="14" t="s">
        <v>168</v>
      </c>
    </row>
    <row r="17" customFormat="false" ht="15" hidden="false" customHeight="false" outlineLevel="0" collapsed="false">
      <c r="E17" s="14" t="s">
        <v>169</v>
      </c>
    </row>
    <row r="18" customFormat="false" ht="15" hidden="false" customHeight="false" outlineLevel="0" collapsed="false">
      <c r="E18" s="14" t="s">
        <v>170</v>
      </c>
    </row>
    <row r="19" customFormat="false" ht="15" hidden="false" customHeight="false" outlineLevel="0" collapsed="false">
      <c r="E19" s="14" t="s">
        <v>171</v>
      </c>
    </row>
    <row r="20" customFormat="false" ht="15" hidden="false" customHeight="false" outlineLevel="0" collapsed="false">
      <c r="E20" s="14" t="s">
        <v>172</v>
      </c>
    </row>
    <row r="21" customFormat="false" ht="15" hidden="false" customHeight="false" outlineLevel="0" collapsed="false">
      <c r="E21" s="14" t="s">
        <v>71</v>
      </c>
    </row>
    <row r="22" customFormat="false" ht="15" hidden="false" customHeight="false" outlineLevel="0" collapsed="false">
      <c r="E22" s="14" t="s">
        <v>173</v>
      </c>
    </row>
    <row r="23" customFormat="false" ht="15" hidden="false" customHeight="false" outlineLevel="0" collapsed="false">
      <c r="E23" s="14" t="s">
        <v>174</v>
      </c>
    </row>
    <row r="24" customFormat="false" ht="15" hidden="false" customHeight="false" outlineLevel="0" collapsed="false">
      <c r="E24" s="14" t="s">
        <v>175</v>
      </c>
    </row>
    <row r="25" customFormat="false" ht="15" hidden="false" customHeight="false" outlineLevel="0" collapsed="false">
      <c r="E25" s="14" t="s">
        <v>176</v>
      </c>
    </row>
    <row r="26" customFormat="false" ht="15" hidden="false" customHeight="false" outlineLevel="0" collapsed="false">
      <c r="E26" s="14" t="s">
        <v>177</v>
      </c>
    </row>
    <row r="27" customFormat="false" ht="15" hidden="false" customHeight="false" outlineLevel="0" collapsed="false">
      <c r="E27" s="14" t="s">
        <v>178</v>
      </c>
    </row>
    <row r="28" customFormat="false" ht="15" hidden="false" customHeight="false" outlineLevel="0" collapsed="false">
      <c r="E28" s="14" t="s">
        <v>179</v>
      </c>
    </row>
    <row r="29" customFormat="false" ht="15" hidden="false" customHeight="false" outlineLevel="0" collapsed="false">
      <c r="E29" s="14" t="s">
        <v>180</v>
      </c>
    </row>
    <row r="30" customFormat="false" ht="15" hidden="false" customHeight="false" outlineLevel="0" collapsed="false">
      <c r="E30" s="14" t="s">
        <v>181</v>
      </c>
    </row>
    <row r="31" customFormat="false" ht="15" hidden="false" customHeight="false" outlineLevel="0" collapsed="false">
      <c r="E31" s="14" t="s">
        <v>182</v>
      </c>
    </row>
    <row r="32" customFormat="false" ht="15" hidden="false" customHeight="false" outlineLevel="0" collapsed="false">
      <c r="E32" s="14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2026-10-18T20:41:41Z</dcterms:created>
  <dc:creator>openpyxl</dc:creator>
  <dc:description/>
  <dc:language>en-US</dc:language>
  <cp:lastModifiedBy/>
  <dcterms:modified xsi:type="dcterms:W3CDTF">2026-10-18T20:41:42Z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